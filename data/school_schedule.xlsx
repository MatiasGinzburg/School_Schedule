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tias\Documents\ProjectosRandom\school_schedule\school_schedule\data\"/>
    </mc:Choice>
  </mc:AlternateContent>
  <xr:revisionPtr revIDLastSave="0" documentId="13_ncr:1_{C50A6D32-FB1D-4D2B-A908-FD5C4A5224D4}" xr6:coauthVersionLast="47" xr6:coauthVersionMax="47" xr10:uidLastSave="{00000000-0000-0000-0000-000000000000}"/>
  <bookViews>
    <workbookView xWindow="-108" yWindow="-108" windowWidth="23256" windowHeight="12456" firstSheet="12" activeTab="15" xr2:uid="{00000000-000D-0000-FFFF-FFFF00000000}"/>
  </bookViews>
  <sheets>
    <sheet name="Profesor 15" sheetId="1" r:id="rId1"/>
    <sheet name="Profesor 14" sheetId="2" r:id="rId2"/>
    <sheet name="Profesor 13" sheetId="3" r:id="rId3"/>
    <sheet name="Profesor 12" sheetId="4" r:id="rId4"/>
    <sheet name="Profesor 11" sheetId="5" r:id="rId5"/>
    <sheet name="Profesor 10" sheetId="6" r:id="rId6"/>
    <sheet name="Profesor 9" sheetId="7" r:id="rId7"/>
    <sheet name="Profesor 8" sheetId="8" r:id="rId8"/>
    <sheet name="Profesor 7" sheetId="9" r:id="rId9"/>
    <sheet name="Profesor 6" sheetId="10" r:id="rId10"/>
    <sheet name="Profesor 5" sheetId="11" r:id="rId11"/>
    <sheet name="Profesor 4" sheetId="12" r:id="rId12"/>
    <sheet name="Profesor 3" sheetId="13" r:id="rId13"/>
    <sheet name="Profesor 2" sheetId="14" r:id="rId14"/>
    <sheet name="Profesor 1" sheetId="15" r:id="rId15"/>
    <sheet name="hours_per_course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6" l="1"/>
  <c r="J1" i="1" s="1" a="1"/>
  <c r="J1" i="1" s="1"/>
  <c r="J3" i="1" s="1"/>
  <c r="O9" i="16"/>
  <c r="N9" i="16"/>
  <c r="M9" i="16"/>
  <c r="J1" i="4" s="1" a="1"/>
  <c r="J1" i="4" s="1"/>
  <c r="J3" i="4" s="1"/>
  <c r="L9" i="16"/>
  <c r="J1" i="5" s="1" a="1"/>
  <c r="J1" i="5" s="1"/>
  <c r="J3" i="5" s="1"/>
  <c r="K9" i="16"/>
  <c r="J9" i="16"/>
  <c r="I9" i="16"/>
  <c r="J1" i="8" s="1" a="1"/>
  <c r="J1" i="8" s="1"/>
  <c r="J3" i="8" s="1"/>
  <c r="H9" i="16"/>
  <c r="J1" i="9" s="1" a="1"/>
  <c r="J1" i="9" s="1"/>
  <c r="J3" i="9" s="1"/>
  <c r="G9" i="16"/>
  <c r="F9" i="16"/>
  <c r="E9" i="16"/>
  <c r="J1" i="12" s="1" a="1"/>
  <c r="J1" i="12" s="1"/>
  <c r="J3" i="12" s="1"/>
  <c r="D9" i="16"/>
  <c r="J1" i="13" s="1" a="1"/>
  <c r="J1" i="13" s="1"/>
  <c r="J3" i="13" s="1"/>
  <c r="C9" i="16"/>
  <c r="B9" i="16"/>
  <c r="R7" i="16"/>
  <c r="R6" i="16"/>
  <c r="R5" i="16"/>
  <c r="R4" i="16"/>
  <c r="R3" i="16"/>
  <c r="R2" i="16"/>
  <c r="U3" i="16"/>
  <c r="J4" i="15"/>
  <c r="J1" i="15" a="1"/>
  <c r="J1" i="15"/>
  <c r="J3" i="15" s="1"/>
  <c r="J4" i="14"/>
  <c r="J1" i="14" a="1"/>
  <c r="J1" i="14"/>
  <c r="J3" i="14" s="1"/>
  <c r="J4" i="13"/>
  <c r="J4" i="12"/>
  <c r="J4" i="11"/>
  <c r="J1" i="11" a="1"/>
  <c r="J1" i="11"/>
  <c r="J3" i="11" s="1"/>
  <c r="J4" i="10"/>
  <c r="J1" i="10" a="1"/>
  <c r="J1" i="10"/>
  <c r="J3" i="10" s="1"/>
  <c r="J4" i="9"/>
  <c r="J4" i="8"/>
  <c r="J4" i="7"/>
  <c r="J1" i="7" a="1"/>
  <c r="J1" i="7"/>
  <c r="J3" i="7" s="1"/>
  <c r="J4" i="6"/>
  <c r="J1" i="6" a="1"/>
  <c r="J1" i="6"/>
  <c r="J3" i="6" s="1"/>
  <c r="J4" i="5"/>
  <c r="J4" i="4"/>
  <c r="J4" i="3"/>
  <c r="J1" i="3" a="1"/>
  <c r="J1" i="3"/>
  <c r="J3" i="3" s="1"/>
  <c r="J4" i="2"/>
  <c r="J1" i="2" a="1"/>
  <c r="J1" i="2"/>
  <c r="J3" i="2" s="1"/>
  <c r="J4" i="1"/>
</calcChain>
</file>

<file path=xl/sharedStrings.xml><?xml version="1.0" encoding="utf-8"?>
<sst xmlns="http://schemas.openxmlformats.org/spreadsheetml/2006/main" count="176" uniqueCount="34">
  <si>
    <t>Profesor 15</t>
  </si>
  <si>
    <t>Profesor 14</t>
  </si>
  <si>
    <t>Monday</t>
  </si>
  <si>
    <t>Tuesday</t>
  </si>
  <si>
    <t>Profesor 13</t>
  </si>
  <si>
    <t>Wednesday</t>
  </si>
  <si>
    <t>Thursday</t>
  </si>
  <si>
    <t>Friday</t>
  </si>
  <si>
    <t>Total hours</t>
  </si>
  <si>
    <t>Profesor 12</t>
  </si>
  <si>
    <t>margin</t>
  </si>
  <si>
    <t>minimun disp</t>
  </si>
  <si>
    <t>Total disp</t>
  </si>
  <si>
    <t>Profesor 11</t>
  </si>
  <si>
    <t>Profesor 10</t>
  </si>
  <si>
    <t>Profesor 9</t>
  </si>
  <si>
    <t>Profesor 8</t>
  </si>
  <si>
    <t>Profesor 7</t>
  </si>
  <si>
    <t>Profesor 6</t>
  </si>
  <si>
    <t>Profesor 5</t>
  </si>
  <si>
    <t>Profesor 4</t>
  </si>
  <si>
    <t>Profesor 3</t>
  </si>
  <si>
    <t>Profesor 2</t>
  </si>
  <si>
    <t>Profesor 1</t>
  </si>
  <si>
    <t>Total</t>
  </si>
  <si>
    <t>days per week</t>
  </si>
  <si>
    <t>Curso 1</t>
  </si>
  <si>
    <t>hours per day</t>
  </si>
  <si>
    <t>Curso 2</t>
  </si>
  <si>
    <t>Hours per week per course</t>
  </si>
  <si>
    <t>Curso 3</t>
  </si>
  <si>
    <t>Curso 4</t>
  </si>
  <si>
    <t>Curso 5</t>
  </si>
  <si>
    <t>Curso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</si>
</sst>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0" fontId="1" fillId="0" borderId="0" xfId="0" applyNumberFormat="1" applyFont="1"/>
    <xf numFmtId="0" fontId="2" fillId="0" borderId="0" xfId="0" applyFont="1" applyAlignment="1">
      <alignment horizontal="right"/>
    </xf>
    <xf numFmtId="4" fontId="1" fillId="0" borderId="0" xfId="0" applyNumberFormat="1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7"/>
  <sheetViews>
    <sheetView workbookViewId="0"/>
  </sheetViews>
  <sheetFormatPr defaultColWidth="12.6640625" defaultRowHeight="15.75" customHeight="1" x14ac:dyDescent="0.25"/>
  <sheetData>
    <row r="1" spans="1:10" x14ac:dyDescent="0.25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7</v>
      </c>
      <c r="I1" s="1" t="s">
        <v>8</v>
      </c>
      <c r="J1" s="1">
        <f t="array" ref="J1">INDEX(hours_per_course!B9:P9,MATCH(A1,hours_per_course!B1:P1,0))</f>
        <v>11</v>
      </c>
    </row>
    <row r="2" spans="1:10" x14ac:dyDescent="0.25">
      <c r="A2" s="1">
        <v>1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I2" s="1" t="s">
        <v>10</v>
      </c>
      <c r="J2" s="2">
        <v>0.3</v>
      </c>
    </row>
    <row r="3" spans="1:10" x14ac:dyDescent="0.25">
      <c r="A3" s="1">
        <v>2</v>
      </c>
      <c r="B3" s="1">
        <v>1</v>
      </c>
      <c r="C3" s="1">
        <v>1</v>
      </c>
      <c r="D3" s="1">
        <v>1</v>
      </c>
      <c r="E3" s="1">
        <v>1</v>
      </c>
      <c r="F3" s="1">
        <v>1</v>
      </c>
      <c r="I3" s="1" t="s">
        <v>11</v>
      </c>
      <c r="J3" s="1">
        <f>INT(J1*(1+J2)+0.5)</f>
        <v>14</v>
      </c>
    </row>
    <row r="4" spans="1:10" x14ac:dyDescent="0.25">
      <c r="A4" s="1">
        <v>3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I4" s="1" t="s">
        <v>12</v>
      </c>
      <c r="J4" s="1">
        <f>SUM(B2:F7)</f>
        <v>28</v>
      </c>
    </row>
    <row r="5" spans="1:10" x14ac:dyDescent="0.25">
      <c r="A5" s="1">
        <v>4</v>
      </c>
      <c r="B5" s="1">
        <v>1</v>
      </c>
      <c r="C5" s="1">
        <v>1</v>
      </c>
      <c r="D5" s="1">
        <v>0</v>
      </c>
      <c r="E5" s="1">
        <v>1</v>
      </c>
      <c r="F5" s="1">
        <v>1</v>
      </c>
    </row>
    <row r="6" spans="1:10" x14ac:dyDescent="0.25">
      <c r="A6" s="1">
        <v>5</v>
      </c>
      <c r="B6" s="1">
        <v>1</v>
      </c>
      <c r="C6" s="3">
        <v>1</v>
      </c>
      <c r="D6" s="3">
        <v>1</v>
      </c>
      <c r="E6" s="3">
        <v>1</v>
      </c>
      <c r="F6" s="3">
        <v>1</v>
      </c>
    </row>
    <row r="7" spans="1:10" x14ac:dyDescent="0.25">
      <c r="A7" s="1">
        <v>6</v>
      </c>
      <c r="B7" s="1">
        <v>1</v>
      </c>
      <c r="C7" s="3">
        <v>0</v>
      </c>
      <c r="D7" s="3">
        <v>1</v>
      </c>
      <c r="E7" s="3">
        <v>1</v>
      </c>
      <c r="F7" s="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7"/>
  <sheetViews>
    <sheetView workbookViewId="0"/>
  </sheetViews>
  <sheetFormatPr defaultColWidth="12.6640625" defaultRowHeight="15.75" customHeight="1" x14ac:dyDescent="0.25"/>
  <sheetData>
    <row r="1" spans="1:10" x14ac:dyDescent="0.25">
      <c r="A1" s="1" t="s">
        <v>1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7</v>
      </c>
      <c r="I1" s="1" t="s">
        <v>8</v>
      </c>
      <c r="J1" s="1">
        <f t="array" ref="J1">INDEX(hours_per_course!B9:P9,MATCH(A1,hours_per_course!B1:P1,0))</f>
        <v>4</v>
      </c>
    </row>
    <row r="2" spans="1:10" x14ac:dyDescent="0.25">
      <c r="A2" s="1">
        <v>1</v>
      </c>
      <c r="B2" s="1">
        <v>1</v>
      </c>
      <c r="C2" s="1">
        <v>0</v>
      </c>
      <c r="D2" s="1">
        <v>1</v>
      </c>
      <c r="E2" s="1">
        <v>0</v>
      </c>
      <c r="F2" s="1">
        <v>0</v>
      </c>
      <c r="I2" s="1" t="s">
        <v>10</v>
      </c>
      <c r="J2" s="2">
        <v>0.3</v>
      </c>
    </row>
    <row r="3" spans="1:10" x14ac:dyDescent="0.25">
      <c r="A3" s="1">
        <v>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I3" s="1" t="s">
        <v>11</v>
      </c>
      <c r="J3" s="1">
        <f>INT(J1*(1+J2)+0.5)</f>
        <v>5</v>
      </c>
    </row>
    <row r="4" spans="1:10" x14ac:dyDescent="0.25">
      <c r="A4" s="1">
        <v>3</v>
      </c>
      <c r="B4" s="1">
        <v>0</v>
      </c>
      <c r="C4" s="1">
        <v>1</v>
      </c>
      <c r="D4" s="1">
        <v>0</v>
      </c>
      <c r="E4" s="1">
        <v>1</v>
      </c>
      <c r="F4" s="1">
        <v>1</v>
      </c>
      <c r="I4" s="1" t="s">
        <v>12</v>
      </c>
      <c r="J4" s="1">
        <f>SUM(B2:F7)</f>
        <v>11</v>
      </c>
    </row>
    <row r="5" spans="1:10" x14ac:dyDescent="0.25">
      <c r="A5" s="1">
        <v>4</v>
      </c>
      <c r="B5" s="1">
        <v>0</v>
      </c>
      <c r="C5" s="1">
        <v>1</v>
      </c>
      <c r="D5" s="1">
        <v>1</v>
      </c>
      <c r="E5" s="1">
        <v>1</v>
      </c>
      <c r="F5" s="1">
        <v>1</v>
      </c>
    </row>
    <row r="6" spans="1:10" x14ac:dyDescent="0.25">
      <c r="A6" s="1">
        <v>5</v>
      </c>
      <c r="B6" s="1">
        <v>1</v>
      </c>
      <c r="C6" s="3">
        <v>0</v>
      </c>
      <c r="D6" s="3">
        <v>0</v>
      </c>
      <c r="E6" s="3">
        <v>0</v>
      </c>
      <c r="F6" s="3">
        <v>1</v>
      </c>
    </row>
    <row r="7" spans="1:10" x14ac:dyDescent="0.25">
      <c r="A7" s="1">
        <v>6</v>
      </c>
      <c r="B7" s="1">
        <v>0</v>
      </c>
      <c r="C7" s="3">
        <v>0</v>
      </c>
      <c r="D7" s="3">
        <v>0</v>
      </c>
      <c r="E7" s="3">
        <v>0</v>
      </c>
      <c r="F7" s="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7"/>
  <sheetViews>
    <sheetView workbookViewId="0"/>
  </sheetViews>
  <sheetFormatPr defaultColWidth="12.6640625" defaultRowHeight="15.75" customHeight="1" x14ac:dyDescent="0.25"/>
  <sheetData>
    <row r="1" spans="1:10" x14ac:dyDescent="0.25">
      <c r="A1" s="1" t="s">
        <v>4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7</v>
      </c>
      <c r="I1" s="1" t="s">
        <v>8</v>
      </c>
      <c r="J1" s="1">
        <f t="array" ref="J1">INDEX(hours_per_course!B9:P9,MATCH(A1,hours_per_course!B1:P1,0))</f>
        <v>11</v>
      </c>
    </row>
    <row r="2" spans="1:10" x14ac:dyDescent="0.25">
      <c r="A2" s="1">
        <v>1</v>
      </c>
      <c r="B2" s="1">
        <v>1</v>
      </c>
      <c r="C2" s="1">
        <v>1</v>
      </c>
      <c r="D2" s="1">
        <v>1</v>
      </c>
      <c r="E2" s="1">
        <v>0</v>
      </c>
      <c r="F2" s="1">
        <v>1</v>
      </c>
      <c r="I2" s="1" t="s">
        <v>10</v>
      </c>
      <c r="J2" s="2">
        <v>0.3</v>
      </c>
    </row>
    <row r="3" spans="1:10" x14ac:dyDescent="0.25">
      <c r="A3" s="1">
        <v>2</v>
      </c>
      <c r="B3" s="1">
        <v>1</v>
      </c>
      <c r="C3" s="1">
        <v>1</v>
      </c>
      <c r="D3" s="1">
        <v>0</v>
      </c>
      <c r="E3" s="1">
        <v>1</v>
      </c>
      <c r="F3" s="1">
        <v>1</v>
      </c>
      <c r="I3" s="1" t="s">
        <v>11</v>
      </c>
      <c r="J3" s="1">
        <f>INT(J1*(1+J2)+0.5)</f>
        <v>14</v>
      </c>
    </row>
    <row r="4" spans="1:10" x14ac:dyDescent="0.25">
      <c r="A4" s="1">
        <v>3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I4" s="1" t="s">
        <v>12</v>
      </c>
      <c r="J4" s="1">
        <f>SUM(B2:F7)</f>
        <v>26</v>
      </c>
    </row>
    <row r="5" spans="1:10" x14ac:dyDescent="0.25">
      <c r="A5" s="1">
        <v>4</v>
      </c>
      <c r="B5" s="1">
        <v>1</v>
      </c>
      <c r="C5" s="1">
        <v>0</v>
      </c>
      <c r="D5" s="1">
        <v>1</v>
      </c>
      <c r="E5" s="1">
        <v>1</v>
      </c>
      <c r="F5" s="1">
        <v>0</v>
      </c>
    </row>
    <row r="6" spans="1:10" x14ac:dyDescent="0.25">
      <c r="A6" s="1">
        <v>5</v>
      </c>
      <c r="B6" s="1">
        <v>1</v>
      </c>
      <c r="C6" s="3">
        <v>1</v>
      </c>
      <c r="D6" s="3">
        <v>1</v>
      </c>
      <c r="E6" s="3">
        <v>1</v>
      </c>
      <c r="F6" s="3">
        <v>1</v>
      </c>
    </row>
    <row r="7" spans="1:10" x14ac:dyDescent="0.25">
      <c r="A7" s="1">
        <v>6</v>
      </c>
      <c r="B7" s="1">
        <v>1</v>
      </c>
      <c r="C7" s="3">
        <v>1</v>
      </c>
      <c r="D7" s="3">
        <v>1</v>
      </c>
      <c r="E7" s="3">
        <v>1</v>
      </c>
      <c r="F7" s="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7"/>
  <sheetViews>
    <sheetView workbookViewId="0"/>
  </sheetViews>
  <sheetFormatPr defaultColWidth="12.6640625" defaultRowHeight="15.75" customHeight="1" x14ac:dyDescent="0.25"/>
  <sheetData>
    <row r="1" spans="1:10" x14ac:dyDescent="0.25">
      <c r="A1" s="1" t="s">
        <v>9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7</v>
      </c>
      <c r="I1" s="1" t="s">
        <v>8</v>
      </c>
      <c r="J1" s="1">
        <f t="array" ref="J1">INDEX(hours_per_course!B9:P9,MATCH(A1,hours_per_course!B1:P1,0))</f>
        <v>18</v>
      </c>
    </row>
    <row r="2" spans="1:10" x14ac:dyDescent="0.25">
      <c r="A2" s="1">
        <v>1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I2" s="1" t="s">
        <v>10</v>
      </c>
      <c r="J2" s="2">
        <v>0.3</v>
      </c>
    </row>
    <row r="3" spans="1:10" x14ac:dyDescent="0.25">
      <c r="A3" s="1">
        <v>2</v>
      </c>
      <c r="B3" s="1">
        <v>1</v>
      </c>
      <c r="C3" s="1">
        <v>1</v>
      </c>
      <c r="D3" s="1">
        <v>1</v>
      </c>
      <c r="E3" s="1">
        <v>1</v>
      </c>
      <c r="F3" s="1">
        <v>1</v>
      </c>
      <c r="I3" s="1" t="s">
        <v>11</v>
      </c>
      <c r="J3" s="1">
        <f>INT(J1*(1+J2)+0.5)</f>
        <v>23</v>
      </c>
    </row>
    <row r="4" spans="1:10" x14ac:dyDescent="0.25">
      <c r="A4" s="1">
        <v>3</v>
      </c>
      <c r="B4" s="1">
        <v>1</v>
      </c>
      <c r="C4" s="1">
        <v>1</v>
      </c>
      <c r="D4" s="1">
        <v>1</v>
      </c>
      <c r="E4" s="1">
        <v>1</v>
      </c>
      <c r="F4" s="1">
        <v>0</v>
      </c>
      <c r="I4" s="1" t="s">
        <v>12</v>
      </c>
      <c r="J4" s="1">
        <f>SUM(B2:F7)</f>
        <v>27</v>
      </c>
    </row>
    <row r="5" spans="1:10" x14ac:dyDescent="0.25">
      <c r="A5" s="1">
        <v>4</v>
      </c>
      <c r="B5" s="1">
        <v>1</v>
      </c>
      <c r="C5" s="1">
        <v>1</v>
      </c>
      <c r="D5" s="1">
        <v>1</v>
      </c>
      <c r="E5" s="1">
        <v>1</v>
      </c>
      <c r="F5" s="1">
        <v>1</v>
      </c>
    </row>
    <row r="6" spans="1:10" x14ac:dyDescent="0.25">
      <c r="A6" s="1">
        <v>5</v>
      </c>
      <c r="B6" s="1">
        <v>1</v>
      </c>
      <c r="C6" s="3">
        <v>1</v>
      </c>
      <c r="D6" s="3">
        <v>1</v>
      </c>
      <c r="E6" s="3">
        <v>1</v>
      </c>
      <c r="F6" s="3">
        <v>0</v>
      </c>
    </row>
    <row r="7" spans="1:10" x14ac:dyDescent="0.25">
      <c r="A7" s="1">
        <v>6</v>
      </c>
      <c r="B7" s="1">
        <v>0</v>
      </c>
      <c r="C7" s="3">
        <v>1</v>
      </c>
      <c r="D7" s="3">
        <v>1</v>
      </c>
      <c r="E7" s="3">
        <v>1</v>
      </c>
      <c r="F7" s="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J7"/>
  <sheetViews>
    <sheetView workbookViewId="0"/>
  </sheetViews>
  <sheetFormatPr defaultColWidth="12.6640625" defaultRowHeight="15.75" customHeight="1" x14ac:dyDescent="0.25"/>
  <sheetData>
    <row r="1" spans="1:10" x14ac:dyDescent="0.25">
      <c r="A1" s="1" t="s">
        <v>13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7</v>
      </c>
      <c r="I1" s="1" t="s">
        <v>8</v>
      </c>
      <c r="J1" s="1">
        <f t="array" ref="J1">INDEX(hours_per_course!B9:P9,MATCH(A1,hours_per_course!B1:P1,0))</f>
        <v>14</v>
      </c>
    </row>
    <row r="2" spans="1:10" x14ac:dyDescent="0.25">
      <c r="A2" s="1">
        <v>1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I2" s="1" t="s">
        <v>10</v>
      </c>
      <c r="J2" s="2">
        <v>0.3</v>
      </c>
    </row>
    <row r="3" spans="1:10" x14ac:dyDescent="0.25">
      <c r="A3" s="1">
        <v>2</v>
      </c>
      <c r="B3" s="1">
        <v>1</v>
      </c>
      <c r="C3" s="1">
        <v>1</v>
      </c>
      <c r="D3" s="1">
        <v>1</v>
      </c>
      <c r="E3" s="1">
        <v>1</v>
      </c>
      <c r="F3" s="1">
        <v>1</v>
      </c>
      <c r="I3" s="1" t="s">
        <v>11</v>
      </c>
      <c r="J3" s="1">
        <f>INT(J1*(1+J2)+0.5)</f>
        <v>18</v>
      </c>
    </row>
    <row r="4" spans="1:10" x14ac:dyDescent="0.25">
      <c r="A4" s="1">
        <v>3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I4" s="1" t="s">
        <v>12</v>
      </c>
      <c r="J4" s="1">
        <f>SUM(B2:F7)</f>
        <v>30</v>
      </c>
    </row>
    <row r="5" spans="1:10" x14ac:dyDescent="0.25">
      <c r="A5" s="1">
        <v>4</v>
      </c>
      <c r="B5" s="1">
        <v>1</v>
      </c>
      <c r="C5" s="1">
        <v>1</v>
      </c>
      <c r="D5" s="1">
        <v>1</v>
      </c>
      <c r="E5" s="1">
        <v>1</v>
      </c>
      <c r="F5" s="1">
        <v>1</v>
      </c>
    </row>
    <row r="6" spans="1:10" x14ac:dyDescent="0.25">
      <c r="A6" s="1">
        <v>5</v>
      </c>
      <c r="B6" s="1">
        <v>1</v>
      </c>
      <c r="C6" s="3">
        <v>1</v>
      </c>
      <c r="D6" s="3">
        <v>1</v>
      </c>
      <c r="E6" s="3">
        <v>1</v>
      </c>
      <c r="F6" s="3">
        <v>1</v>
      </c>
    </row>
    <row r="7" spans="1:10" x14ac:dyDescent="0.25">
      <c r="A7" s="1">
        <v>6</v>
      </c>
      <c r="B7" s="1">
        <v>1</v>
      </c>
      <c r="C7" s="3">
        <v>1</v>
      </c>
      <c r="D7" s="3">
        <v>1</v>
      </c>
      <c r="E7" s="3">
        <v>1</v>
      </c>
      <c r="F7" s="3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J7"/>
  <sheetViews>
    <sheetView workbookViewId="0"/>
  </sheetViews>
  <sheetFormatPr defaultColWidth="12.6640625" defaultRowHeight="15.75" customHeight="1" x14ac:dyDescent="0.25"/>
  <sheetData>
    <row r="1" spans="1:10" x14ac:dyDescent="0.25">
      <c r="A1" s="1" t="s">
        <v>14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7</v>
      </c>
      <c r="I1" s="1" t="s">
        <v>8</v>
      </c>
      <c r="J1" s="1">
        <f t="array" ref="J1">INDEX(hours_per_course!B9:P9,MATCH(A1,hours_per_course!B1:P1,0))</f>
        <v>13</v>
      </c>
    </row>
    <row r="2" spans="1:10" x14ac:dyDescent="0.25">
      <c r="A2" s="1">
        <v>1</v>
      </c>
      <c r="B2" s="1">
        <v>0</v>
      </c>
      <c r="C2" s="1">
        <v>0</v>
      </c>
      <c r="D2" s="1">
        <v>0</v>
      </c>
      <c r="E2" s="1">
        <v>1</v>
      </c>
      <c r="F2" s="1">
        <v>1</v>
      </c>
      <c r="I2" s="1" t="s">
        <v>10</v>
      </c>
      <c r="J2" s="2">
        <v>0.3</v>
      </c>
    </row>
    <row r="3" spans="1:10" x14ac:dyDescent="0.25">
      <c r="A3" s="1">
        <v>2</v>
      </c>
      <c r="B3" s="1">
        <v>1</v>
      </c>
      <c r="C3" s="1">
        <v>0</v>
      </c>
      <c r="D3" s="1">
        <v>1</v>
      </c>
      <c r="E3" s="1">
        <v>1</v>
      </c>
      <c r="F3" s="1">
        <v>1</v>
      </c>
      <c r="I3" s="1" t="s">
        <v>11</v>
      </c>
      <c r="J3" s="1">
        <f>INT(J1*(1+J2)+0.5)</f>
        <v>17</v>
      </c>
    </row>
    <row r="4" spans="1:10" x14ac:dyDescent="0.25">
      <c r="A4" s="1">
        <v>3</v>
      </c>
      <c r="B4" s="1">
        <v>1</v>
      </c>
      <c r="C4" s="1">
        <v>0</v>
      </c>
      <c r="D4" s="1">
        <v>1</v>
      </c>
      <c r="E4" s="1">
        <v>1</v>
      </c>
      <c r="F4" s="1">
        <v>1</v>
      </c>
      <c r="I4" s="1" t="s">
        <v>12</v>
      </c>
      <c r="J4" s="1">
        <f>SUM(B2:F7)</f>
        <v>19</v>
      </c>
    </row>
    <row r="5" spans="1:10" x14ac:dyDescent="0.25">
      <c r="A5" s="1">
        <v>4</v>
      </c>
      <c r="B5" s="1">
        <v>0</v>
      </c>
      <c r="C5" s="1">
        <v>1</v>
      </c>
      <c r="D5" s="1">
        <v>0</v>
      </c>
      <c r="E5" s="1">
        <v>1</v>
      </c>
      <c r="F5" s="1">
        <v>1</v>
      </c>
    </row>
    <row r="6" spans="1:10" x14ac:dyDescent="0.25">
      <c r="A6" s="1">
        <v>5</v>
      </c>
      <c r="B6" s="1">
        <v>1</v>
      </c>
      <c r="C6" s="3">
        <v>1</v>
      </c>
      <c r="D6" s="3">
        <v>1</v>
      </c>
      <c r="E6" s="3">
        <v>1</v>
      </c>
      <c r="F6" s="3">
        <v>0</v>
      </c>
    </row>
    <row r="7" spans="1:10" x14ac:dyDescent="0.25">
      <c r="A7" s="1">
        <v>6</v>
      </c>
      <c r="B7" s="1">
        <v>0</v>
      </c>
      <c r="C7" s="3">
        <v>0</v>
      </c>
      <c r="D7" s="3">
        <v>0</v>
      </c>
      <c r="E7" s="3">
        <v>1</v>
      </c>
      <c r="F7" s="3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J7"/>
  <sheetViews>
    <sheetView workbookViewId="0"/>
  </sheetViews>
  <sheetFormatPr defaultColWidth="12.6640625" defaultRowHeight="15.75" customHeight="1" x14ac:dyDescent="0.25"/>
  <sheetData>
    <row r="1" spans="1:10" x14ac:dyDescent="0.25">
      <c r="A1" s="1" t="s">
        <v>15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7</v>
      </c>
      <c r="I1" s="1" t="s">
        <v>8</v>
      </c>
      <c r="J1" s="1">
        <f t="array" ref="J1">INDEX(hours_per_course!B9:P9,MATCH(A1,hours_per_course!B1:P1,0))</f>
        <v>11</v>
      </c>
    </row>
    <row r="2" spans="1:10" x14ac:dyDescent="0.25">
      <c r="A2" s="1">
        <v>1</v>
      </c>
      <c r="B2" s="1">
        <v>1</v>
      </c>
      <c r="C2" s="1">
        <v>1</v>
      </c>
      <c r="D2" s="1">
        <v>0</v>
      </c>
      <c r="E2" s="1">
        <v>0</v>
      </c>
      <c r="F2" s="1">
        <v>1</v>
      </c>
      <c r="I2" s="1" t="s">
        <v>10</v>
      </c>
      <c r="J2" s="2">
        <v>0.3</v>
      </c>
    </row>
    <row r="3" spans="1:10" x14ac:dyDescent="0.25">
      <c r="A3" s="1">
        <v>2</v>
      </c>
      <c r="B3" s="1">
        <v>1</v>
      </c>
      <c r="C3" s="1">
        <v>1</v>
      </c>
      <c r="D3" s="1">
        <v>0</v>
      </c>
      <c r="E3" s="1">
        <v>1</v>
      </c>
      <c r="F3" s="1">
        <v>1</v>
      </c>
      <c r="I3" s="1" t="s">
        <v>11</v>
      </c>
      <c r="J3" s="1">
        <f>INT(J1*(1+J2)+0.5)</f>
        <v>14</v>
      </c>
    </row>
    <row r="4" spans="1:10" x14ac:dyDescent="0.25">
      <c r="A4" s="1">
        <v>3</v>
      </c>
      <c r="B4" s="1">
        <v>1</v>
      </c>
      <c r="C4" s="1">
        <v>0</v>
      </c>
      <c r="D4" s="1">
        <v>1</v>
      </c>
      <c r="E4" s="1">
        <v>1</v>
      </c>
      <c r="F4" s="1">
        <v>0</v>
      </c>
      <c r="I4" s="1" t="s">
        <v>12</v>
      </c>
      <c r="J4" s="1">
        <f>SUM(B2:F7)</f>
        <v>20</v>
      </c>
    </row>
    <row r="5" spans="1:10" x14ac:dyDescent="0.25">
      <c r="A5" s="1">
        <v>4</v>
      </c>
      <c r="B5" s="1">
        <v>1</v>
      </c>
      <c r="C5" s="1">
        <v>1</v>
      </c>
      <c r="D5" s="1">
        <v>0</v>
      </c>
      <c r="E5" s="1">
        <v>0</v>
      </c>
      <c r="F5" s="1">
        <v>0</v>
      </c>
    </row>
    <row r="6" spans="1:10" x14ac:dyDescent="0.25">
      <c r="A6" s="1">
        <v>5</v>
      </c>
      <c r="B6" s="1">
        <v>1</v>
      </c>
      <c r="C6" s="3">
        <v>1</v>
      </c>
      <c r="D6" s="3">
        <v>1</v>
      </c>
      <c r="E6" s="3">
        <v>0</v>
      </c>
      <c r="F6" s="3">
        <v>1</v>
      </c>
    </row>
    <row r="7" spans="1:10" x14ac:dyDescent="0.25">
      <c r="A7" s="1">
        <v>6</v>
      </c>
      <c r="B7" s="1">
        <v>1</v>
      </c>
      <c r="C7" s="3">
        <v>1</v>
      </c>
      <c r="D7" s="3">
        <v>1</v>
      </c>
      <c r="E7" s="3">
        <v>0</v>
      </c>
      <c r="F7" s="3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J7"/>
  <sheetViews>
    <sheetView workbookViewId="0"/>
  </sheetViews>
  <sheetFormatPr defaultColWidth="12.6640625" defaultRowHeight="15.75" customHeight="1" x14ac:dyDescent="0.25"/>
  <sheetData>
    <row r="1" spans="1:10" x14ac:dyDescent="0.25">
      <c r="A1" s="1" t="s">
        <v>16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7</v>
      </c>
      <c r="I1" s="1" t="s">
        <v>8</v>
      </c>
      <c r="J1" s="1">
        <f t="array" ref="J1">INDEX(hours_per_course!B9:P9,MATCH(A1,hours_per_course!B1:P1,0))</f>
        <v>16</v>
      </c>
    </row>
    <row r="2" spans="1:10" x14ac:dyDescent="0.25">
      <c r="A2" s="1">
        <v>1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I2" s="1" t="s">
        <v>10</v>
      </c>
      <c r="J2" s="2">
        <v>0.3</v>
      </c>
    </row>
    <row r="3" spans="1:10" x14ac:dyDescent="0.25">
      <c r="A3" s="1">
        <v>2</v>
      </c>
      <c r="B3" s="1">
        <v>1</v>
      </c>
      <c r="C3" s="1">
        <v>1</v>
      </c>
      <c r="D3" s="1">
        <v>1</v>
      </c>
      <c r="E3" s="1">
        <v>1</v>
      </c>
      <c r="F3" s="1">
        <v>0</v>
      </c>
      <c r="I3" s="1" t="s">
        <v>11</v>
      </c>
      <c r="J3" s="1">
        <f>INT(J1*(1+J2)+0.5)</f>
        <v>21</v>
      </c>
    </row>
    <row r="4" spans="1:10" x14ac:dyDescent="0.25">
      <c r="A4" s="1">
        <v>3</v>
      </c>
      <c r="B4" s="1">
        <v>1</v>
      </c>
      <c r="C4" s="1">
        <v>1</v>
      </c>
      <c r="D4" s="1">
        <v>0</v>
      </c>
      <c r="E4" s="1">
        <v>1</v>
      </c>
      <c r="F4" s="1">
        <v>1</v>
      </c>
      <c r="I4" s="1" t="s">
        <v>12</v>
      </c>
      <c r="J4" s="1">
        <f>SUM(B2:F7)</f>
        <v>27</v>
      </c>
    </row>
    <row r="5" spans="1:10" x14ac:dyDescent="0.25">
      <c r="A5" s="1">
        <v>4</v>
      </c>
      <c r="B5" s="1">
        <v>1</v>
      </c>
      <c r="C5" s="1">
        <v>1</v>
      </c>
      <c r="D5" s="1">
        <v>1</v>
      </c>
      <c r="E5" s="1">
        <v>1</v>
      </c>
      <c r="F5" s="1">
        <v>1</v>
      </c>
    </row>
    <row r="6" spans="1:10" x14ac:dyDescent="0.25">
      <c r="A6" s="1">
        <v>5</v>
      </c>
      <c r="B6" s="1">
        <v>1</v>
      </c>
      <c r="C6" s="3">
        <v>0</v>
      </c>
      <c r="D6" s="3">
        <v>1</v>
      </c>
      <c r="E6" s="3">
        <v>1</v>
      </c>
      <c r="F6" s="3">
        <v>1</v>
      </c>
    </row>
    <row r="7" spans="1:10" x14ac:dyDescent="0.25">
      <c r="A7" s="1">
        <v>6</v>
      </c>
      <c r="B7" s="1">
        <v>1</v>
      </c>
      <c r="C7" s="3">
        <v>1</v>
      </c>
      <c r="D7" s="3">
        <v>1</v>
      </c>
      <c r="E7" s="3">
        <v>1</v>
      </c>
      <c r="F7" s="3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J7"/>
  <sheetViews>
    <sheetView workbookViewId="0"/>
  </sheetViews>
  <sheetFormatPr defaultColWidth="12.6640625" defaultRowHeight="15.75" customHeight="1" x14ac:dyDescent="0.25"/>
  <sheetData>
    <row r="1" spans="1:10" x14ac:dyDescent="0.25">
      <c r="A1" s="1" t="s">
        <v>17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7</v>
      </c>
      <c r="I1" s="1" t="s">
        <v>8</v>
      </c>
      <c r="J1" s="1">
        <f t="array" ref="J1">INDEX(hours_per_course!B9:P9,MATCH(A1,hours_per_course!B1:P1,0))</f>
        <v>10</v>
      </c>
    </row>
    <row r="2" spans="1:10" x14ac:dyDescent="0.25">
      <c r="A2" s="1">
        <v>1</v>
      </c>
      <c r="B2" s="1">
        <v>0</v>
      </c>
      <c r="C2" s="1">
        <v>1</v>
      </c>
      <c r="D2" s="1">
        <v>1</v>
      </c>
      <c r="E2" s="1">
        <v>1</v>
      </c>
      <c r="F2" s="1">
        <v>0</v>
      </c>
      <c r="I2" s="1" t="s">
        <v>10</v>
      </c>
      <c r="J2" s="2">
        <v>0.3</v>
      </c>
    </row>
    <row r="3" spans="1:10" x14ac:dyDescent="0.25">
      <c r="A3" s="1">
        <v>2</v>
      </c>
      <c r="B3" s="1">
        <v>1</v>
      </c>
      <c r="C3" s="1">
        <v>1</v>
      </c>
      <c r="D3" s="1">
        <v>0</v>
      </c>
      <c r="E3" s="1">
        <v>1</v>
      </c>
      <c r="F3" s="1">
        <v>1</v>
      </c>
      <c r="I3" s="1" t="s">
        <v>11</v>
      </c>
      <c r="J3" s="1">
        <f>INT(J1*(1+J2)+0.5)</f>
        <v>13</v>
      </c>
    </row>
    <row r="4" spans="1:10" x14ac:dyDescent="0.25">
      <c r="A4" s="1">
        <v>3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I4" s="1" t="s">
        <v>12</v>
      </c>
      <c r="J4" s="1">
        <f>SUM(B2:F7)</f>
        <v>25</v>
      </c>
    </row>
    <row r="5" spans="1:10" x14ac:dyDescent="0.25">
      <c r="A5" s="1">
        <v>4</v>
      </c>
      <c r="B5" s="1">
        <v>1</v>
      </c>
      <c r="C5" s="1">
        <v>1</v>
      </c>
      <c r="D5" s="1">
        <v>1</v>
      </c>
      <c r="E5" s="1">
        <v>1</v>
      </c>
      <c r="F5" s="1">
        <v>0</v>
      </c>
    </row>
    <row r="6" spans="1:10" x14ac:dyDescent="0.25">
      <c r="A6" s="1">
        <v>5</v>
      </c>
      <c r="B6" s="1">
        <v>1</v>
      </c>
      <c r="C6" s="3">
        <v>0</v>
      </c>
      <c r="D6" s="3">
        <v>1</v>
      </c>
      <c r="E6" s="3">
        <v>1</v>
      </c>
      <c r="F6" s="3">
        <v>1</v>
      </c>
    </row>
    <row r="7" spans="1:10" x14ac:dyDescent="0.25">
      <c r="A7" s="1">
        <v>6</v>
      </c>
      <c r="B7" s="1">
        <v>1</v>
      </c>
      <c r="C7" s="3">
        <v>1</v>
      </c>
      <c r="D7" s="3">
        <v>1</v>
      </c>
      <c r="E7" s="3">
        <v>1</v>
      </c>
      <c r="F7" s="3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J7"/>
  <sheetViews>
    <sheetView workbookViewId="0"/>
  </sheetViews>
  <sheetFormatPr defaultColWidth="12.6640625" defaultRowHeight="15.75" customHeight="1" x14ac:dyDescent="0.25"/>
  <sheetData>
    <row r="1" spans="1:10" x14ac:dyDescent="0.25">
      <c r="A1" s="1" t="s">
        <v>18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7</v>
      </c>
      <c r="I1" s="1" t="s">
        <v>8</v>
      </c>
      <c r="J1" s="1">
        <f t="array" ref="J1">INDEX(hours_per_course!B9:P9,MATCH(A1,hours_per_course!B1:P1,0))</f>
        <v>12</v>
      </c>
    </row>
    <row r="2" spans="1:10" x14ac:dyDescent="0.25">
      <c r="A2" s="1">
        <v>1</v>
      </c>
      <c r="B2" s="1">
        <v>1</v>
      </c>
      <c r="C2" s="1">
        <v>1</v>
      </c>
      <c r="D2" s="1">
        <v>0</v>
      </c>
      <c r="E2" s="1">
        <v>0</v>
      </c>
      <c r="F2" s="1">
        <v>1</v>
      </c>
      <c r="I2" s="1" t="s">
        <v>10</v>
      </c>
      <c r="J2" s="2">
        <v>0.3</v>
      </c>
    </row>
    <row r="3" spans="1:10" x14ac:dyDescent="0.25">
      <c r="A3" s="1">
        <v>2</v>
      </c>
      <c r="B3" s="1">
        <v>1</v>
      </c>
      <c r="C3" s="1">
        <v>1</v>
      </c>
      <c r="D3" s="1">
        <v>1</v>
      </c>
      <c r="E3" s="1">
        <v>1</v>
      </c>
      <c r="F3" s="1">
        <v>0</v>
      </c>
      <c r="I3" s="1" t="s">
        <v>11</v>
      </c>
      <c r="J3" s="1">
        <f>INT(J1*(1+J2)+0.5)</f>
        <v>16</v>
      </c>
    </row>
    <row r="4" spans="1:10" x14ac:dyDescent="0.25">
      <c r="A4" s="1">
        <v>3</v>
      </c>
      <c r="B4" s="1">
        <v>1</v>
      </c>
      <c r="C4" s="1">
        <v>1</v>
      </c>
      <c r="D4" s="1">
        <v>1</v>
      </c>
      <c r="E4" s="1">
        <v>0</v>
      </c>
      <c r="F4" s="1">
        <v>1</v>
      </c>
      <c r="I4" s="1" t="s">
        <v>12</v>
      </c>
      <c r="J4" s="1">
        <f>SUM(B2:F7)</f>
        <v>17</v>
      </c>
    </row>
    <row r="5" spans="1:10" x14ac:dyDescent="0.25">
      <c r="A5" s="1">
        <v>4</v>
      </c>
      <c r="B5" s="1">
        <v>0</v>
      </c>
      <c r="C5" s="1">
        <v>1</v>
      </c>
      <c r="D5" s="1">
        <v>0</v>
      </c>
      <c r="E5" s="1">
        <v>1</v>
      </c>
      <c r="F5" s="1">
        <v>1</v>
      </c>
    </row>
    <row r="6" spans="1:10" x14ac:dyDescent="0.25">
      <c r="A6" s="1">
        <v>5</v>
      </c>
      <c r="B6" s="1">
        <v>1</v>
      </c>
      <c r="C6" s="3">
        <v>1</v>
      </c>
      <c r="D6" s="3">
        <v>0</v>
      </c>
      <c r="E6" s="3">
        <v>0</v>
      </c>
      <c r="F6" s="3">
        <v>1</v>
      </c>
    </row>
    <row r="7" spans="1:10" x14ac:dyDescent="0.25">
      <c r="A7" s="1">
        <v>6</v>
      </c>
      <c r="B7" s="1">
        <v>0</v>
      </c>
      <c r="C7" s="3">
        <v>0</v>
      </c>
      <c r="D7" s="3">
        <v>0</v>
      </c>
      <c r="E7" s="3">
        <v>0</v>
      </c>
      <c r="F7" s="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J7"/>
  <sheetViews>
    <sheetView workbookViewId="0"/>
  </sheetViews>
  <sheetFormatPr defaultColWidth="12.6640625" defaultRowHeight="15.75" customHeight="1" x14ac:dyDescent="0.25"/>
  <sheetData>
    <row r="1" spans="1:10" x14ac:dyDescent="0.25">
      <c r="A1" s="1" t="s">
        <v>19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7</v>
      </c>
      <c r="I1" s="1" t="s">
        <v>8</v>
      </c>
      <c r="J1" s="1">
        <f t="array" ref="J1">INDEX(hours_per_course!B9:P9,MATCH(A1,hours_per_course!B1:P1,0))</f>
        <v>10</v>
      </c>
    </row>
    <row r="2" spans="1:10" x14ac:dyDescent="0.25">
      <c r="A2" s="1">
        <v>1</v>
      </c>
      <c r="B2" s="1">
        <v>1</v>
      </c>
      <c r="C2" s="1">
        <v>1</v>
      </c>
      <c r="D2" s="1">
        <v>1</v>
      </c>
      <c r="E2" s="1">
        <v>0</v>
      </c>
      <c r="F2" s="1">
        <v>1</v>
      </c>
      <c r="I2" s="1" t="s">
        <v>10</v>
      </c>
      <c r="J2" s="2">
        <v>0.3</v>
      </c>
    </row>
    <row r="3" spans="1:10" x14ac:dyDescent="0.25">
      <c r="A3" s="1">
        <v>2</v>
      </c>
      <c r="B3" s="1">
        <v>0</v>
      </c>
      <c r="C3" s="1">
        <v>0</v>
      </c>
      <c r="D3" s="1">
        <v>1</v>
      </c>
      <c r="E3" s="1">
        <v>0</v>
      </c>
      <c r="F3" s="1">
        <v>0</v>
      </c>
      <c r="I3" s="1" t="s">
        <v>11</v>
      </c>
      <c r="J3" s="1">
        <f>INT(J1*(1+J2)+0.5)</f>
        <v>13</v>
      </c>
    </row>
    <row r="4" spans="1:10" x14ac:dyDescent="0.25">
      <c r="A4" s="1">
        <v>3</v>
      </c>
      <c r="B4" s="1">
        <v>0</v>
      </c>
      <c r="C4" s="1">
        <v>1</v>
      </c>
      <c r="D4" s="1">
        <v>0</v>
      </c>
      <c r="E4" s="1">
        <v>1</v>
      </c>
      <c r="F4" s="1">
        <v>1</v>
      </c>
      <c r="I4" s="1" t="s">
        <v>12</v>
      </c>
      <c r="J4" s="1">
        <f>SUM(B2:F7)</f>
        <v>14</v>
      </c>
    </row>
    <row r="5" spans="1:10" x14ac:dyDescent="0.25">
      <c r="A5" s="1">
        <v>4</v>
      </c>
      <c r="B5" s="1">
        <v>0</v>
      </c>
      <c r="C5" s="1">
        <v>0</v>
      </c>
      <c r="D5" s="1">
        <v>0</v>
      </c>
      <c r="E5" s="1">
        <v>1</v>
      </c>
      <c r="F5" s="1">
        <v>1</v>
      </c>
    </row>
    <row r="6" spans="1:10" x14ac:dyDescent="0.25">
      <c r="A6" s="1">
        <v>5</v>
      </c>
      <c r="B6" s="1">
        <v>0</v>
      </c>
      <c r="C6" s="3">
        <v>0</v>
      </c>
      <c r="D6" s="3">
        <v>0</v>
      </c>
      <c r="E6" s="3">
        <v>1</v>
      </c>
      <c r="F6" s="3">
        <v>0</v>
      </c>
    </row>
    <row r="7" spans="1:10" x14ac:dyDescent="0.25">
      <c r="A7" s="1">
        <v>6</v>
      </c>
      <c r="B7" s="1">
        <v>1</v>
      </c>
      <c r="C7" s="3">
        <v>0</v>
      </c>
      <c r="D7" s="3">
        <v>1</v>
      </c>
      <c r="E7" s="3">
        <v>0</v>
      </c>
      <c r="F7" s="3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J7"/>
  <sheetViews>
    <sheetView workbookViewId="0"/>
  </sheetViews>
  <sheetFormatPr defaultColWidth="12.6640625" defaultRowHeight="15.75" customHeight="1" x14ac:dyDescent="0.25"/>
  <sheetData>
    <row r="1" spans="1:10" x14ac:dyDescent="0.25">
      <c r="A1" s="1" t="s">
        <v>20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7</v>
      </c>
      <c r="I1" s="1" t="s">
        <v>8</v>
      </c>
      <c r="J1" s="1">
        <f t="array" ref="J1">INDEX(hours_per_course!B9:P9,MATCH(A1,hours_per_course!B1:P1,0))</f>
        <v>12</v>
      </c>
    </row>
    <row r="2" spans="1:10" x14ac:dyDescent="0.25">
      <c r="A2" s="1">
        <v>1</v>
      </c>
      <c r="B2" s="1">
        <v>1</v>
      </c>
      <c r="C2" s="1">
        <v>1</v>
      </c>
      <c r="D2" s="1">
        <v>0</v>
      </c>
      <c r="E2" s="1">
        <v>0</v>
      </c>
      <c r="F2" s="1">
        <v>1</v>
      </c>
      <c r="I2" s="1" t="s">
        <v>10</v>
      </c>
      <c r="J2" s="2">
        <v>0.3</v>
      </c>
    </row>
    <row r="3" spans="1:10" x14ac:dyDescent="0.25">
      <c r="A3" s="1">
        <v>2</v>
      </c>
      <c r="B3" s="1">
        <v>1</v>
      </c>
      <c r="C3" s="1">
        <v>0</v>
      </c>
      <c r="D3" s="1">
        <v>1</v>
      </c>
      <c r="E3" s="1">
        <v>1</v>
      </c>
      <c r="F3" s="1">
        <v>1</v>
      </c>
      <c r="I3" s="1" t="s">
        <v>11</v>
      </c>
      <c r="J3" s="1">
        <f>INT(J1*(1+J2)+0.5)</f>
        <v>16</v>
      </c>
    </row>
    <row r="4" spans="1:10" x14ac:dyDescent="0.25">
      <c r="A4" s="1">
        <v>3</v>
      </c>
      <c r="B4" s="1">
        <v>1</v>
      </c>
      <c r="C4" s="1">
        <v>1</v>
      </c>
      <c r="D4" s="1">
        <v>1</v>
      </c>
      <c r="E4" s="1">
        <v>1</v>
      </c>
      <c r="F4" s="1">
        <v>0</v>
      </c>
      <c r="I4" s="1" t="s">
        <v>12</v>
      </c>
      <c r="J4" s="1">
        <f>SUM(B2:F7)</f>
        <v>21</v>
      </c>
    </row>
    <row r="5" spans="1:10" x14ac:dyDescent="0.25">
      <c r="A5" s="1">
        <v>4</v>
      </c>
      <c r="B5" s="1">
        <v>1</v>
      </c>
      <c r="C5" s="1">
        <v>1</v>
      </c>
      <c r="D5" s="1">
        <v>1</v>
      </c>
      <c r="E5" s="1">
        <v>0</v>
      </c>
      <c r="F5" s="1">
        <v>0</v>
      </c>
    </row>
    <row r="6" spans="1:10" x14ac:dyDescent="0.25">
      <c r="A6" s="1">
        <v>5</v>
      </c>
      <c r="B6" s="1">
        <v>1</v>
      </c>
      <c r="C6" s="3">
        <v>1</v>
      </c>
      <c r="D6" s="3">
        <v>0</v>
      </c>
      <c r="E6" s="3">
        <v>0</v>
      </c>
      <c r="F6" s="3">
        <v>1</v>
      </c>
    </row>
    <row r="7" spans="1:10" x14ac:dyDescent="0.25">
      <c r="A7" s="1">
        <v>6</v>
      </c>
      <c r="B7" s="1">
        <v>1</v>
      </c>
      <c r="C7" s="3">
        <v>1</v>
      </c>
      <c r="D7" s="3">
        <v>1</v>
      </c>
      <c r="E7" s="3">
        <v>0</v>
      </c>
      <c r="F7" s="3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J7"/>
  <sheetViews>
    <sheetView workbookViewId="0"/>
  </sheetViews>
  <sheetFormatPr defaultColWidth="12.6640625" defaultRowHeight="15.75" customHeight="1" x14ac:dyDescent="0.25"/>
  <sheetData>
    <row r="1" spans="1:10" x14ac:dyDescent="0.25">
      <c r="A1" s="1" t="s">
        <v>21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7</v>
      </c>
      <c r="I1" s="1" t="s">
        <v>8</v>
      </c>
      <c r="J1" s="1">
        <f t="array" ref="J1">INDEX(hours_per_course!B9:P9,MATCH(A1,hours_per_course!B1:P1,0))</f>
        <v>15</v>
      </c>
    </row>
    <row r="2" spans="1:10" x14ac:dyDescent="0.25">
      <c r="A2" s="1">
        <v>1</v>
      </c>
      <c r="B2" s="1">
        <v>1</v>
      </c>
      <c r="C2" s="1">
        <v>0</v>
      </c>
      <c r="D2" s="1">
        <v>1</v>
      </c>
      <c r="E2" s="1">
        <v>1</v>
      </c>
      <c r="F2" s="1">
        <v>1</v>
      </c>
      <c r="I2" s="1" t="s">
        <v>10</v>
      </c>
      <c r="J2" s="2">
        <v>0.3</v>
      </c>
    </row>
    <row r="3" spans="1:10" x14ac:dyDescent="0.25">
      <c r="A3" s="1">
        <v>2</v>
      </c>
      <c r="B3" s="1">
        <v>1</v>
      </c>
      <c r="C3" s="1">
        <v>1</v>
      </c>
      <c r="D3" s="1">
        <v>1</v>
      </c>
      <c r="E3" s="1">
        <v>1</v>
      </c>
      <c r="F3" s="1">
        <v>1</v>
      </c>
      <c r="I3" s="1" t="s">
        <v>11</v>
      </c>
      <c r="J3" s="1">
        <f>INT(J1*(1+J2)+0.5)</f>
        <v>20</v>
      </c>
    </row>
    <row r="4" spans="1:10" x14ac:dyDescent="0.25">
      <c r="A4" s="1">
        <v>3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I4" s="1" t="s">
        <v>12</v>
      </c>
      <c r="J4" s="1">
        <f>SUM(B2:F7)</f>
        <v>28</v>
      </c>
    </row>
    <row r="5" spans="1:10" x14ac:dyDescent="0.25">
      <c r="A5" s="1">
        <v>4</v>
      </c>
      <c r="B5" s="1">
        <v>1</v>
      </c>
      <c r="C5" s="1">
        <v>1</v>
      </c>
      <c r="D5" s="1">
        <v>1</v>
      </c>
      <c r="E5" s="1">
        <v>1</v>
      </c>
      <c r="F5" s="1">
        <v>1</v>
      </c>
    </row>
    <row r="6" spans="1:10" x14ac:dyDescent="0.25">
      <c r="A6" s="1">
        <v>5</v>
      </c>
      <c r="B6" s="1">
        <v>1</v>
      </c>
      <c r="C6" s="3">
        <v>1</v>
      </c>
      <c r="D6" s="3">
        <v>1</v>
      </c>
      <c r="E6" s="3">
        <v>1</v>
      </c>
      <c r="F6" s="3">
        <v>1</v>
      </c>
    </row>
    <row r="7" spans="1:10" x14ac:dyDescent="0.25">
      <c r="A7" s="1">
        <v>6</v>
      </c>
      <c r="B7" s="1">
        <v>0</v>
      </c>
      <c r="C7" s="3">
        <v>1</v>
      </c>
      <c r="D7" s="3">
        <v>1</v>
      </c>
      <c r="E7" s="3">
        <v>1</v>
      </c>
      <c r="F7" s="3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K11"/>
  <sheetViews>
    <sheetView workbookViewId="0"/>
  </sheetViews>
  <sheetFormatPr defaultColWidth="12.6640625" defaultRowHeight="15.75" customHeight="1" x14ac:dyDescent="0.25"/>
  <sheetData>
    <row r="1" spans="1:11" x14ac:dyDescent="0.25">
      <c r="A1" s="1" t="s">
        <v>22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7</v>
      </c>
      <c r="I1" s="1" t="s">
        <v>8</v>
      </c>
      <c r="J1" s="1">
        <f t="array" ref="J1">INDEX(hours_per_course!B9:P9,MATCH(A1,hours_per_course!B1:P1,0))</f>
        <v>15</v>
      </c>
    </row>
    <row r="2" spans="1:11" x14ac:dyDescent="0.25">
      <c r="A2" s="1">
        <v>1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I2" s="1" t="s">
        <v>10</v>
      </c>
      <c r="J2" s="2">
        <v>0.3</v>
      </c>
    </row>
    <row r="3" spans="1:11" x14ac:dyDescent="0.25">
      <c r="A3" s="1">
        <v>2</v>
      </c>
      <c r="B3" s="1">
        <v>1</v>
      </c>
      <c r="C3" s="1">
        <v>1</v>
      </c>
      <c r="D3" s="1">
        <v>1</v>
      </c>
      <c r="E3" s="1">
        <v>1</v>
      </c>
      <c r="F3" s="1">
        <v>1</v>
      </c>
      <c r="I3" s="1" t="s">
        <v>11</v>
      </c>
      <c r="J3" s="1">
        <f>INT(J1*(1+J2)+0.5)</f>
        <v>20</v>
      </c>
    </row>
    <row r="4" spans="1:11" x14ac:dyDescent="0.25">
      <c r="A4" s="1">
        <v>3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I4" s="1" t="s">
        <v>12</v>
      </c>
      <c r="J4" s="1">
        <f>SUM(B2:F7)</f>
        <v>30</v>
      </c>
    </row>
    <row r="5" spans="1:11" x14ac:dyDescent="0.25">
      <c r="A5" s="1">
        <v>4</v>
      </c>
      <c r="B5" s="1">
        <v>1</v>
      </c>
      <c r="C5" s="1">
        <v>1</v>
      </c>
      <c r="D5" s="1">
        <v>1</v>
      </c>
      <c r="E5" s="1">
        <v>1</v>
      </c>
      <c r="F5" s="1">
        <v>1</v>
      </c>
    </row>
    <row r="6" spans="1:11" x14ac:dyDescent="0.25">
      <c r="A6" s="1">
        <v>5</v>
      </c>
      <c r="B6" s="1">
        <v>1</v>
      </c>
      <c r="C6" s="3">
        <v>1</v>
      </c>
      <c r="D6" s="3">
        <v>1</v>
      </c>
      <c r="E6" s="3">
        <v>1</v>
      </c>
      <c r="F6" s="3">
        <v>1</v>
      </c>
    </row>
    <row r="7" spans="1:11" x14ac:dyDescent="0.25">
      <c r="A7" s="1">
        <v>6</v>
      </c>
      <c r="B7" s="1">
        <v>1</v>
      </c>
      <c r="C7" s="3">
        <v>1</v>
      </c>
      <c r="D7" s="3">
        <v>1</v>
      </c>
      <c r="E7" s="3">
        <v>1</v>
      </c>
      <c r="F7" s="3">
        <v>1</v>
      </c>
    </row>
    <row r="8" spans="1:11" x14ac:dyDescent="0.25">
      <c r="K8" s="2"/>
    </row>
    <row r="11" spans="1:11" x14ac:dyDescent="0.25">
      <c r="K11" s="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J7"/>
  <sheetViews>
    <sheetView workbookViewId="0"/>
  </sheetViews>
  <sheetFormatPr defaultColWidth="12.6640625" defaultRowHeight="15.75" customHeight="1" x14ac:dyDescent="0.25"/>
  <sheetData>
    <row r="1" spans="1:10" x14ac:dyDescent="0.25">
      <c r="A1" s="1" t="s">
        <v>23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7</v>
      </c>
      <c r="I1" s="1" t="s">
        <v>8</v>
      </c>
      <c r="J1" s="1">
        <f t="array" ref="J1">INDEX(hours_per_course!B9:P9,MATCH(A1,hours_per_course!B1:P1,0))</f>
        <v>8</v>
      </c>
    </row>
    <row r="2" spans="1:10" x14ac:dyDescent="0.25">
      <c r="A2" s="1">
        <v>1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I2" s="1" t="s">
        <v>10</v>
      </c>
      <c r="J2" s="2">
        <v>0.3</v>
      </c>
    </row>
    <row r="3" spans="1:10" x14ac:dyDescent="0.25">
      <c r="A3" s="1">
        <v>2</v>
      </c>
      <c r="B3" s="1">
        <v>0</v>
      </c>
      <c r="C3" s="1">
        <v>1</v>
      </c>
      <c r="D3" s="1">
        <v>1</v>
      </c>
      <c r="E3" s="1">
        <v>1</v>
      </c>
      <c r="F3" s="1">
        <v>1</v>
      </c>
      <c r="I3" s="1" t="s">
        <v>11</v>
      </c>
      <c r="J3" s="1">
        <f>INT(J1*(1+J2)+0.5)</f>
        <v>10</v>
      </c>
    </row>
    <row r="4" spans="1:10" x14ac:dyDescent="0.25">
      <c r="A4" s="1">
        <v>3</v>
      </c>
      <c r="B4" s="1">
        <v>1</v>
      </c>
      <c r="C4" s="1">
        <v>1</v>
      </c>
      <c r="D4" s="1">
        <v>1</v>
      </c>
      <c r="E4" s="1">
        <v>0</v>
      </c>
      <c r="F4" s="1">
        <v>1</v>
      </c>
      <c r="I4" s="1" t="s">
        <v>12</v>
      </c>
      <c r="J4" s="1">
        <f>SUM(B2:F7)</f>
        <v>26</v>
      </c>
    </row>
    <row r="5" spans="1:10" x14ac:dyDescent="0.25">
      <c r="A5" s="1">
        <v>4</v>
      </c>
      <c r="B5" s="1">
        <v>1</v>
      </c>
      <c r="C5" s="1">
        <v>1</v>
      </c>
      <c r="D5" s="1">
        <v>1</v>
      </c>
      <c r="E5" s="1">
        <v>1</v>
      </c>
      <c r="F5" s="1">
        <v>1</v>
      </c>
    </row>
    <row r="6" spans="1:10" x14ac:dyDescent="0.25">
      <c r="A6" s="1">
        <v>5</v>
      </c>
      <c r="B6" s="1">
        <v>1</v>
      </c>
      <c r="C6" s="3">
        <v>1</v>
      </c>
      <c r="D6" s="3">
        <v>1</v>
      </c>
      <c r="E6" s="3">
        <v>0</v>
      </c>
      <c r="F6" s="3">
        <v>1</v>
      </c>
    </row>
    <row r="7" spans="1:10" x14ac:dyDescent="0.25">
      <c r="A7" s="1">
        <v>6</v>
      </c>
      <c r="B7" s="1">
        <v>0</v>
      </c>
      <c r="C7" s="3">
        <v>1</v>
      </c>
      <c r="D7" s="3">
        <v>1</v>
      </c>
      <c r="E7" s="3">
        <v>1</v>
      </c>
      <c r="F7" s="3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U9"/>
  <sheetViews>
    <sheetView tabSelected="1" workbookViewId="0">
      <selection activeCell="S15" sqref="S15"/>
    </sheetView>
  </sheetViews>
  <sheetFormatPr defaultColWidth="12.6640625" defaultRowHeight="15.75" customHeight="1" x14ac:dyDescent="0.25"/>
  <cols>
    <col min="2" max="16" width="5.21875" customWidth="1"/>
  </cols>
  <sheetData>
    <row r="1" spans="1:21" x14ac:dyDescent="0.25">
      <c r="B1" s="1" t="s">
        <v>23</v>
      </c>
      <c r="C1" s="1" t="s">
        <v>22</v>
      </c>
      <c r="D1" s="1" t="s">
        <v>21</v>
      </c>
      <c r="E1" s="1" t="s">
        <v>20</v>
      </c>
      <c r="F1" s="1" t="s">
        <v>19</v>
      </c>
      <c r="G1" s="1" t="s">
        <v>18</v>
      </c>
      <c r="H1" s="1" t="s">
        <v>17</v>
      </c>
      <c r="I1" s="1" t="s">
        <v>16</v>
      </c>
      <c r="J1" s="1" t="s">
        <v>15</v>
      </c>
      <c r="K1" s="1" t="s">
        <v>14</v>
      </c>
      <c r="L1" s="1" t="s">
        <v>13</v>
      </c>
      <c r="M1" s="1" t="s">
        <v>9</v>
      </c>
      <c r="N1" s="1" t="s">
        <v>4</v>
      </c>
      <c r="O1" s="1" t="s">
        <v>1</v>
      </c>
      <c r="P1" s="1" t="s">
        <v>0</v>
      </c>
      <c r="R1" s="1" t="s">
        <v>24</v>
      </c>
      <c r="T1" s="1" t="s">
        <v>25</v>
      </c>
      <c r="U1" s="1">
        <v>5</v>
      </c>
    </row>
    <row r="2" spans="1:21" x14ac:dyDescent="0.25">
      <c r="A2" s="1" t="s">
        <v>26</v>
      </c>
      <c r="B2" s="1">
        <v>0</v>
      </c>
      <c r="C2" s="1">
        <v>2</v>
      </c>
      <c r="D2" s="1">
        <v>2</v>
      </c>
      <c r="E2" s="1">
        <v>1</v>
      </c>
      <c r="F2" s="1">
        <v>0</v>
      </c>
      <c r="G2" s="1">
        <v>2</v>
      </c>
      <c r="H2" s="1">
        <v>2</v>
      </c>
      <c r="I2" s="1">
        <v>3</v>
      </c>
      <c r="J2" s="1">
        <v>3</v>
      </c>
      <c r="K2" s="1">
        <v>4</v>
      </c>
      <c r="L2" s="1">
        <v>1</v>
      </c>
      <c r="M2" s="1">
        <v>4</v>
      </c>
      <c r="N2" s="1">
        <v>4</v>
      </c>
      <c r="O2" s="1">
        <v>0</v>
      </c>
      <c r="P2" s="1">
        <v>2</v>
      </c>
      <c r="R2" s="1">
        <f t="shared" ref="R2:R7" si="0">SUM(B2:P2)</f>
        <v>30</v>
      </c>
      <c r="T2" s="1" t="s">
        <v>27</v>
      </c>
      <c r="U2" s="1">
        <v>6</v>
      </c>
    </row>
    <row r="3" spans="1:21" x14ac:dyDescent="0.25">
      <c r="A3" s="1" t="s">
        <v>28</v>
      </c>
      <c r="B3" s="1">
        <v>3</v>
      </c>
      <c r="C3" s="1">
        <v>1</v>
      </c>
      <c r="D3" s="1">
        <v>2</v>
      </c>
      <c r="E3" s="1">
        <v>0</v>
      </c>
      <c r="F3" s="1">
        <v>3</v>
      </c>
      <c r="G3" s="1">
        <v>1</v>
      </c>
      <c r="H3" s="1">
        <v>3</v>
      </c>
      <c r="I3" s="1">
        <v>3</v>
      </c>
      <c r="J3" s="1">
        <v>1</v>
      </c>
      <c r="K3" s="1">
        <v>3</v>
      </c>
      <c r="L3" s="1">
        <v>3</v>
      </c>
      <c r="M3" s="1">
        <v>3</v>
      </c>
      <c r="N3" s="1">
        <v>1</v>
      </c>
      <c r="O3" s="1">
        <v>0</v>
      </c>
      <c r="P3" s="1">
        <v>3</v>
      </c>
      <c r="R3" s="1">
        <f t="shared" si="0"/>
        <v>30</v>
      </c>
      <c r="T3" s="1" t="s">
        <v>29</v>
      </c>
      <c r="U3" s="1">
        <f>U2*U1</f>
        <v>30</v>
      </c>
    </row>
    <row r="4" spans="1:21" x14ac:dyDescent="0.25">
      <c r="A4" s="1" t="s">
        <v>30</v>
      </c>
      <c r="B4" s="1">
        <v>0</v>
      </c>
      <c r="C4" s="1">
        <v>3</v>
      </c>
      <c r="D4" s="1">
        <v>2</v>
      </c>
      <c r="E4" s="1">
        <v>3</v>
      </c>
      <c r="F4" s="1">
        <v>3</v>
      </c>
      <c r="G4" s="1">
        <v>2</v>
      </c>
      <c r="H4" s="1">
        <v>3</v>
      </c>
      <c r="I4" s="1">
        <v>3</v>
      </c>
      <c r="J4" s="1">
        <v>0</v>
      </c>
      <c r="K4" s="1">
        <v>1</v>
      </c>
      <c r="L4" s="1">
        <v>3</v>
      </c>
      <c r="M4" s="1">
        <v>2</v>
      </c>
      <c r="N4" s="1">
        <v>0</v>
      </c>
      <c r="O4" s="1">
        <v>1</v>
      </c>
      <c r="P4" s="1">
        <v>4</v>
      </c>
      <c r="R4" s="1">
        <f t="shared" si="0"/>
        <v>30</v>
      </c>
    </row>
    <row r="5" spans="1:21" x14ac:dyDescent="0.25">
      <c r="A5" s="1" t="s">
        <v>31</v>
      </c>
      <c r="B5" s="1">
        <v>1</v>
      </c>
      <c r="C5" s="1">
        <v>3</v>
      </c>
      <c r="D5" s="1">
        <v>2</v>
      </c>
      <c r="E5" s="1">
        <v>3</v>
      </c>
      <c r="F5" s="1">
        <v>3</v>
      </c>
      <c r="G5" s="1">
        <v>0</v>
      </c>
      <c r="H5" s="1">
        <v>1</v>
      </c>
      <c r="I5" s="1">
        <v>1</v>
      </c>
      <c r="J5" s="1">
        <v>2</v>
      </c>
      <c r="K5" s="1">
        <v>1</v>
      </c>
      <c r="L5" s="1">
        <v>2</v>
      </c>
      <c r="M5" s="1">
        <v>3</v>
      </c>
      <c r="N5" s="1">
        <v>4</v>
      </c>
      <c r="O5" s="1">
        <v>3</v>
      </c>
      <c r="P5" s="1">
        <v>1</v>
      </c>
      <c r="R5" s="1">
        <f t="shared" si="0"/>
        <v>30</v>
      </c>
    </row>
    <row r="6" spans="1:21" x14ac:dyDescent="0.25">
      <c r="A6" s="1" t="s">
        <v>32</v>
      </c>
      <c r="B6" s="1">
        <v>1</v>
      </c>
      <c r="C6" s="1">
        <v>3</v>
      </c>
      <c r="D6" s="1">
        <v>4</v>
      </c>
      <c r="E6" s="1">
        <v>3</v>
      </c>
      <c r="F6" s="1">
        <v>1</v>
      </c>
      <c r="G6" s="1">
        <v>3</v>
      </c>
      <c r="H6" s="1">
        <v>1</v>
      </c>
      <c r="I6" s="1">
        <v>4</v>
      </c>
      <c r="J6" s="1">
        <v>2</v>
      </c>
      <c r="K6" s="1">
        <v>3</v>
      </c>
      <c r="L6" s="1">
        <v>2</v>
      </c>
      <c r="M6" s="1">
        <v>3</v>
      </c>
      <c r="N6" s="1">
        <v>0</v>
      </c>
      <c r="O6" s="1">
        <v>0</v>
      </c>
      <c r="P6" s="1">
        <v>0</v>
      </c>
      <c r="R6" s="1">
        <f t="shared" si="0"/>
        <v>30</v>
      </c>
    </row>
    <row r="7" spans="1:21" x14ac:dyDescent="0.25">
      <c r="A7" s="1" t="s">
        <v>33</v>
      </c>
      <c r="B7" s="1">
        <v>3</v>
      </c>
      <c r="C7" s="1">
        <v>3</v>
      </c>
      <c r="D7" s="1">
        <v>3</v>
      </c>
      <c r="E7" s="1">
        <v>2</v>
      </c>
      <c r="F7" s="1">
        <v>0</v>
      </c>
      <c r="G7" s="1">
        <v>4</v>
      </c>
      <c r="H7" s="1">
        <v>0</v>
      </c>
      <c r="I7" s="1">
        <v>2</v>
      </c>
      <c r="J7" s="1">
        <v>3</v>
      </c>
      <c r="K7" s="1">
        <v>1</v>
      </c>
      <c r="L7" s="1">
        <v>3</v>
      </c>
      <c r="M7" s="1">
        <v>3</v>
      </c>
      <c r="N7" s="1">
        <v>2</v>
      </c>
      <c r="O7" s="1">
        <v>0</v>
      </c>
      <c r="P7" s="1">
        <v>1</v>
      </c>
      <c r="R7" s="1">
        <f t="shared" si="0"/>
        <v>30</v>
      </c>
    </row>
    <row r="9" spans="1:21" x14ac:dyDescent="0.25">
      <c r="A9" s="1" t="s">
        <v>24</v>
      </c>
      <c r="B9" s="1">
        <f t="shared" ref="B9:P9" si="1">SUM(B2:B7)</f>
        <v>8</v>
      </c>
      <c r="C9" s="1">
        <f t="shared" si="1"/>
        <v>15</v>
      </c>
      <c r="D9" s="1">
        <f t="shared" si="1"/>
        <v>15</v>
      </c>
      <c r="E9" s="1">
        <f t="shared" si="1"/>
        <v>12</v>
      </c>
      <c r="F9" s="1">
        <f t="shared" si="1"/>
        <v>10</v>
      </c>
      <c r="G9" s="1">
        <f t="shared" si="1"/>
        <v>12</v>
      </c>
      <c r="H9" s="1">
        <f t="shared" si="1"/>
        <v>10</v>
      </c>
      <c r="I9" s="1">
        <f t="shared" si="1"/>
        <v>16</v>
      </c>
      <c r="J9" s="1">
        <f t="shared" si="1"/>
        <v>11</v>
      </c>
      <c r="K9" s="1">
        <f t="shared" si="1"/>
        <v>13</v>
      </c>
      <c r="L9" s="1">
        <f t="shared" si="1"/>
        <v>14</v>
      </c>
      <c r="M9" s="1">
        <f t="shared" si="1"/>
        <v>18</v>
      </c>
      <c r="N9" s="1">
        <f t="shared" si="1"/>
        <v>11</v>
      </c>
      <c r="O9" s="1">
        <f t="shared" si="1"/>
        <v>4</v>
      </c>
      <c r="P9" s="1">
        <f t="shared" si="1"/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16</vt:i4>
      </vt:variant>
    </vt:vector>
  </HeadingPairs>
  <TitlesOfParts>
    <vt:vector size="16" baseType="lpstr">
      <vt:lpstr>Profesor 15</vt:lpstr>
      <vt:lpstr>Profesor 14</vt:lpstr>
      <vt:lpstr>Profesor 13</vt:lpstr>
      <vt:lpstr>Profesor 12</vt:lpstr>
      <vt:lpstr>Profesor 11</vt:lpstr>
      <vt:lpstr>Profesor 10</vt:lpstr>
      <vt:lpstr>Profesor 9</vt:lpstr>
      <vt:lpstr>Profesor 8</vt:lpstr>
      <vt:lpstr>Profesor 7</vt:lpstr>
      <vt:lpstr>Profesor 6</vt:lpstr>
      <vt:lpstr>Profesor 5</vt:lpstr>
      <vt:lpstr>Profesor 4</vt:lpstr>
      <vt:lpstr>Profesor 3</vt:lpstr>
      <vt:lpstr>Profesor 2</vt:lpstr>
      <vt:lpstr>Profesor 1</vt:lpstr>
      <vt:lpstr>hours_per_course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</dc:creator>
  <cp:lastModifiedBy>Matias Gabriel Ginzburg</cp:lastModifiedBy>
  <dcterms:modified xsi:type="dcterms:W3CDTF">2026-10-04T17:41:57Z</dcterms:modified>
</cp:coreProperties>
</file>