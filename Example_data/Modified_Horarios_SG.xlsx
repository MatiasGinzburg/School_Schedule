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s" sheetId="1" r:id="rId5"/>
    <sheet state="visible" name="Courses_disponibility" sheetId="2" r:id="rId6"/>
    <sheet state="visible" name="Professors_disponibility" sheetId="3" r:id="rId7"/>
    <sheet state="visible" name="Subjects" sheetId="4" r:id="rId8"/>
    <sheet state="visible" name="_hours_per_course" sheetId="5" r:id="rId9"/>
    <sheet state="visible" name="_hours_per_professor" sheetId="6" r:id="rId10"/>
    <sheet state="visible" name="_hours_per_course_per_professor" sheetId="7" r:id="rId11"/>
  </sheets>
  <definedNames/>
  <calcPr/>
</workbook>
</file>

<file path=xl/sharedStrings.xml><?xml version="1.0" encoding="utf-8"?>
<sst xmlns="http://schemas.openxmlformats.org/spreadsheetml/2006/main" count="1462" uniqueCount="350">
  <si>
    <t>NOTES:</t>
  </si>
  <si>
    <t>Courses</t>
  </si>
  <si>
    <t>1: Available ( The professor is available to work that day at that hour)</t>
  </si>
  <si>
    <t>Professors</t>
  </si>
  <si>
    <t>Subjects</t>
  </si>
  <si>
    <t>Days</t>
  </si>
  <si>
    <t>Hours</t>
  </si>
  <si>
    <t>0: Unavailable ( The professor is not available to work that day at that hour)</t>
  </si>
  <si>
    <t>1A</t>
  </si>
  <si>
    <t>AC1</t>
  </si>
  <si>
    <t>C.Ciudadana 1A</t>
  </si>
  <si>
    <t>Monday</t>
  </si>
  <si>
    <t>08:00 - 08:50</t>
  </si>
  <si>
    <t>1B</t>
  </si>
  <si>
    <t>AA2</t>
  </si>
  <si>
    <t>C.Ciudadana 1B</t>
  </si>
  <si>
    <t>Tuesday</t>
  </si>
  <si>
    <t>08:50 - 09:45</t>
  </si>
  <si>
    <t>1C</t>
  </si>
  <si>
    <t>AH4</t>
  </si>
  <si>
    <t>C.Ciudadana 1C</t>
  </si>
  <si>
    <t>Wednesday</t>
  </si>
  <si>
    <t>10:00 - 10:50</t>
  </si>
  <si>
    <t>2A</t>
  </si>
  <si>
    <t>BL6</t>
  </si>
  <si>
    <t>C.Ciudadana 2A</t>
  </si>
  <si>
    <t>Thursday</t>
  </si>
  <si>
    <t>10:50 - 11:40</t>
  </si>
  <si>
    <t>2B</t>
  </si>
  <si>
    <t>BT7</t>
  </si>
  <si>
    <t>C.Ciudadana 2B</t>
  </si>
  <si>
    <t>Friday</t>
  </si>
  <si>
    <t>11:50 - 12:45</t>
  </si>
  <si>
    <t>2C</t>
  </si>
  <si>
    <t>BT8</t>
  </si>
  <si>
    <t>C.Ciudadana 2C</t>
  </si>
  <si>
    <t>13:30 - 14-30</t>
  </si>
  <si>
    <t>3A</t>
  </si>
  <si>
    <t>CM9</t>
  </si>
  <si>
    <t>C.Ciudadana 3A</t>
  </si>
  <si>
    <t>14:30 - 15:15</t>
  </si>
  <si>
    <t>3B</t>
  </si>
  <si>
    <t>CF10</t>
  </si>
  <si>
    <t>C.Ciudadana 3B</t>
  </si>
  <si>
    <t>15:30 - 16:20</t>
  </si>
  <si>
    <t>3C</t>
  </si>
  <si>
    <t>CT11</t>
  </si>
  <si>
    <t>C.Ciudadana 3C</t>
  </si>
  <si>
    <t>4E</t>
  </si>
  <si>
    <t>CR14</t>
  </si>
  <si>
    <t>Matemática 1A</t>
  </si>
  <si>
    <t>4S</t>
  </si>
  <si>
    <t>DS15</t>
  </si>
  <si>
    <t>Matemática 1B</t>
  </si>
  <si>
    <t>4N</t>
  </si>
  <si>
    <t>EA16</t>
  </si>
  <si>
    <t>Matemática 1C</t>
  </si>
  <si>
    <t>5E</t>
  </si>
  <si>
    <t>GL19</t>
  </si>
  <si>
    <t>Matemática 2A</t>
  </si>
  <si>
    <t>5S</t>
  </si>
  <si>
    <t>GD20</t>
  </si>
  <si>
    <t>Matemática 2B</t>
  </si>
  <si>
    <t>5N</t>
  </si>
  <si>
    <t>GI21</t>
  </si>
  <si>
    <t>Matemática 2C</t>
  </si>
  <si>
    <t>6E</t>
  </si>
  <si>
    <t>GA22</t>
  </si>
  <si>
    <t>Matemática 3A</t>
  </si>
  <si>
    <t>6S</t>
  </si>
  <si>
    <t>GA23</t>
  </si>
  <si>
    <t>Matemática 3B</t>
  </si>
  <si>
    <t>6N</t>
  </si>
  <si>
    <t>GK24</t>
  </si>
  <si>
    <t>Matemática 3C</t>
  </si>
  <si>
    <t>HN25</t>
  </si>
  <si>
    <t>Matemática 4E</t>
  </si>
  <si>
    <t>1: Active hour ( the course have to be at school at that hour)</t>
  </si>
  <si>
    <t>ME26</t>
  </si>
  <si>
    <t>Matemática 4S</t>
  </si>
  <si>
    <t>MF28</t>
  </si>
  <si>
    <t>Matemática 4N</t>
  </si>
  <si>
    <t>NL29</t>
  </si>
  <si>
    <t>Matemática 5E</t>
  </si>
  <si>
    <t>OM30</t>
  </si>
  <si>
    <t>Matemática 5S</t>
  </si>
  <si>
    <t>PV32</t>
  </si>
  <si>
    <t>Matemática 5N</t>
  </si>
  <si>
    <t>PV33</t>
  </si>
  <si>
    <t>Matemática 6E</t>
  </si>
  <si>
    <t>PM34</t>
  </si>
  <si>
    <t>Matemática 6S</t>
  </si>
  <si>
    <t>RD35</t>
  </si>
  <si>
    <t>Matemática 6N</t>
  </si>
  <si>
    <t>0: Inactive hour ( The course dont have to be at school at that hour)</t>
  </si>
  <si>
    <t>RM36</t>
  </si>
  <si>
    <t>Cs.Naturales 1A</t>
  </si>
  <si>
    <t>RM37</t>
  </si>
  <si>
    <t>Cs.Naturales 1B</t>
  </si>
  <si>
    <t>2: Optional hour ( The course may or may not be at the scool at that hour)</t>
  </si>
  <si>
    <t>RB38</t>
  </si>
  <si>
    <t>Cs.Naturales 1C</t>
  </si>
  <si>
    <t>RA39</t>
  </si>
  <si>
    <t>Inglés 1A</t>
  </si>
  <si>
    <t>SM41</t>
  </si>
  <si>
    <t>Inglés 1B</t>
  </si>
  <si>
    <t>SC42</t>
  </si>
  <si>
    <t>Inglés 1C</t>
  </si>
  <si>
    <t>SL43</t>
  </si>
  <si>
    <t>Inglés 2A</t>
  </si>
  <si>
    <t>SP44</t>
  </si>
  <si>
    <t>Inglés 2B</t>
  </si>
  <si>
    <t>SS45</t>
  </si>
  <si>
    <t>Inglés 2C</t>
  </si>
  <si>
    <t>SM46</t>
  </si>
  <si>
    <t>Inglés 3A</t>
  </si>
  <si>
    <t>SV47</t>
  </si>
  <si>
    <t>Inglés 3B</t>
  </si>
  <si>
    <t>TR49</t>
  </si>
  <si>
    <t>Inglés 3C</t>
  </si>
  <si>
    <t>TA50</t>
  </si>
  <si>
    <t>Inglés 4E</t>
  </si>
  <si>
    <t>TE51</t>
  </si>
  <si>
    <t>Inglés 4S</t>
  </si>
  <si>
    <t>ZM52</t>
  </si>
  <si>
    <t>Inglés 4N</t>
  </si>
  <si>
    <t>ZC53</t>
  </si>
  <si>
    <t>Inglés 5E</t>
  </si>
  <si>
    <t>RL54</t>
  </si>
  <si>
    <t>Inglés 5S</t>
  </si>
  <si>
    <t>VF55</t>
  </si>
  <si>
    <t>Inglés 5N</t>
  </si>
  <si>
    <t>FM56</t>
  </si>
  <si>
    <t>Inglés 6E</t>
  </si>
  <si>
    <t>MG57</t>
  </si>
  <si>
    <t>Inglés 6S</t>
  </si>
  <si>
    <t>DV58</t>
  </si>
  <si>
    <t>Inglés 6N</t>
  </si>
  <si>
    <t>BM59</t>
  </si>
  <si>
    <t>Geografía 1A</t>
  </si>
  <si>
    <t>DF60</t>
  </si>
  <si>
    <t>Geografía 1B</t>
  </si>
  <si>
    <t>MR61</t>
  </si>
  <si>
    <t>Geografía 1C</t>
  </si>
  <si>
    <t>OS62</t>
  </si>
  <si>
    <t>Geografía 2A</t>
  </si>
  <si>
    <t>DI63</t>
  </si>
  <si>
    <t>Geografía 2B</t>
  </si>
  <si>
    <t>SE64</t>
  </si>
  <si>
    <t>Geografía 2C</t>
  </si>
  <si>
    <t>YB65</t>
  </si>
  <si>
    <t>Geografía 3A</t>
  </si>
  <si>
    <t>FN66</t>
  </si>
  <si>
    <t>Geografía 3B</t>
  </si>
  <si>
    <t>PRC</t>
  </si>
  <si>
    <t>Geografía 3C</t>
  </si>
  <si>
    <t>ING1</t>
  </si>
  <si>
    <t>Geografía 4E</t>
  </si>
  <si>
    <t>ING2</t>
  </si>
  <si>
    <t>Geografía 4S</t>
  </si>
  <si>
    <t>ING3</t>
  </si>
  <si>
    <t>Geografía 4N</t>
  </si>
  <si>
    <t>ING4</t>
  </si>
  <si>
    <t>Geografía 5E</t>
  </si>
  <si>
    <t>ING5</t>
  </si>
  <si>
    <t>Geografía 5S</t>
  </si>
  <si>
    <t>ING6</t>
  </si>
  <si>
    <t>Geografía 5N</t>
  </si>
  <si>
    <t>ING7</t>
  </si>
  <si>
    <t>Geografía 6S</t>
  </si>
  <si>
    <t>ING8</t>
  </si>
  <si>
    <t>Computación 1A</t>
  </si>
  <si>
    <t>ING9</t>
  </si>
  <si>
    <t>Computación 1B</t>
  </si>
  <si>
    <t>ING10</t>
  </si>
  <si>
    <t>Computación 1C</t>
  </si>
  <si>
    <t>ING11</t>
  </si>
  <si>
    <t>Computación 2A</t>
  </si>
  <si>
    <t>ING12</t>
  </si>
  <si>
    <t>Computación 2B</t>
  </si>
  <si>
    <t>ING13</t>
  </si>
  <si>
    <t>Computación 2C</t>
  </si>
  <si>
    <t>ING14</t>
  </si>
  <si>
    <t>Computación 3A</t>
  </si>
  <si>
    <t>ING15</t>
  </si>
  <si>
    <t>Computación 3B</t>
  </si>
  <si>
    <t>ING16</t>
  </si>
  <si>
    <t>Computación 3C</t>
  </si>
  <si>
    <t>ING17</t>
  </si>
  <si>
    <t>Computación 4E</t>
  </si>
  <si>
    <t>ING18</t>
  </si>
  <si>
    <t>Computación 4S</t>
  </si>
  <si>
    <t>Computación 4N</t>
  </si>
  <si>
    <t>Computación 5E</t>
  </si>
  <si>
    <t>Computación 5S</t>
  </si>
  <si>
    <t>Computación 5N</t>
  </si>
  <si>
    <t>Computación 6E</t>
  </si>
  <si>
    <t>Computación 6S</t>
  </si>
  <si>
    <t>Computación 6N</t>
  </si>
  <si>
    <t>Lengua 1A</t>
  </si>
  <si>
    <t>Lengua 1B</t>
  </si>
  <si>
    <t>Lengua 1C</t>
  </si>
  <si>
    <t>Lengua 2A</t>
  </si>
  <si>
    <t>Lengua 2B</t>
  </si>
  <si>
    <t>Lengua 2C</t>
  </si>
  <si>
    <t>Lengua 3A</t>
  </si>
  <si>
    <t>Lengua 3B</t>
  </si>
  <si>
    <t>Lengua 3C</t>
  </si>
  <si>
    <t>Lengua 4E</t>
  </si>
  <si>
    <t>Lengua 4S</t>
  </si>
  <si>
    <t>Lengua 4N</t>
  </si>
  <si>
    <t>Lengua 5E</t>
  </si>
  <si>
    <t>Lengua 5S</t>
  </si>
  <si>
    <t>Lengua 5N</t>
  </si>
  <si>
    <t>Lengua 6E</t>
  </si>
  <si>
    <t>Lengua 6S</t>
  </si>
  <si>
    <t>Lengua 6N</t>
  </si>
  <si>
    <t>Música 1A</t>
  </si>
  <si>
    <t>Música 1B</t>
  </si>
  <si>
    <t>Música 1C</t>
  </si>
  <si>
    <t>Música 2A</t>
  </si>
  <si>
    <t>Música 2B</t>
  </si>
  <si>
    <t>Música 2C</t>
  </si>
  <si>
    <t>Catequesis 1A</t>
  </si>
  <si>
    <t>Catequesis 1B</t>
  </si>
  <si>
    <t>Catequesis 1C</t>
  </si>
  <si>
    <t>Catequesis 2A</t>
  </si>
  <si>
    <t>Catequesis 2B</t>
  </si>
  <si>
    <t>Subject</t>
  </si>
  <si>
    <t>Catequesis 2C</t>
  </si>
  <si>
    <t>Catequesis 3A</t>
  </si>
  <si>
    <t>Catequesis 3B</t>
  </si>
  <si>
    <t>Catequesis 3C</t>
  </si>
  <si>
    <t>Catequesis 4E</t>
  </si>
  <si>
    <t>Catequesis 4S</t>
  </si>
  <si>
    <t>Catequesis 4N</t>
  </si>
  <si>
    <t>Historia 1A</t>
  </si>
  <si>
    <t>Historia 1B</t>
  </si>
  <si>
    <t>Historia 1C</t>
  </si>
  <si>
    <t>Historia 2A</t>
  </si>
  <si>
    <t>Historia 2B</t>
  </si>
  <si>
    <t>Historia 2C</t>
  </si>
  <si>
    <t>Historia 3A</t>
  </si>
  <si>
    <t>Historia 3B</t>
  </si>
  <si>
    <t>Historia 3C</t>
  </si>
  <si>
    <t>Number of lessons</t>
  </si>
  <si>
    <t>Historia 4E</t>
  </si>
  <si>
    <t>Historia 4S</t>
  </si>
  <si>
    <t>Historia 4N</t>
  </si>
  <si>
    <t>Historia 5E</t>
  </si>
  <si>
    <t>Historia 5S</t>
  </si>
  <si>
    <t>Duration (Hours)</t>
  </si>
  <si>
    <t>Historia 5N</t>
  </si>
  <si>
    <t>Historia 6S</t>
  </si>
  <si>
    <t>Personalización 1A</t>
  </si>
  <si>
    <t>Total Hours</t>
  </si>
  <si>
    <t>Personalización 1B</t>
  </si>
  <si>
    <t>Personalización 1C</t>
  </si>
  <si>
    <t>Personalización 3A</t>
  </si>
  <si>
    <t>Personalización 3B</t>
  </si>
  <si>
    <t>Professor</t>
  </si>
  <si>
    <t>Course</t>
  </si>
  <si>
    <t>Personalización 3C</t>
  </si>
  <si>
    <t>Personalización 4E</t>
  </si>
  <si>
    <t>Personalización 4S</t>
  </si>
  <si>
    <t>Personalización 4N</t>
  </si>
  <si>
    <t>Personalización 5E</t>
  </si>
  <si>
    <t>Personalización 5S</t>
  </si>
  <si>
    <t>Personalización 5N</t>
  </si>
  <si>
    <t>Personalización 6E</t>
  </si>
  <si>
    <t>Personalización 6S</t>
  </si>
  <si>
    <t>Personalización 6N</t>
  </si>
  <si>
    <t>Biología 2A</t>
  </si>
  <si>
    <t>Biología 2B</t>
  </si>
  <si>
    <t>Biología 2C</t>
  </si>
  <si>
    <t>Biología 3A</t>
  </si>
  <si>
    <t>Biología 3B</t>
  </si>
  <si>
    <t>Biología 3C</t>
  </si>
  <si>
    <t>Biología 4E</t>
  </si>
  <si>
    <t>Biología 4S</t>
  </si>
  <si>
    <t>Biología 4N</t>
  </si>
  <si>
    <t>Biología 5N</t>
  </si>
  <si>
    <t>Biología 6N</t>
  </si>
  <si>
    <t>Físico Química 2A</t>
  </si>
  <si>
    <t>Físico Química 2B</t>
  </si>
  <si>
    <t>Físico Química 2C</t>
  </si>
  <si>
    <t>Físico Química 3A</t>
  </si>
  <si>
    <t>Físico Química 3B</t>
  </si>
  <si>
    <t>Físico Química 3C</t>
  </si>
  <si>
    <t>Plástica 2A</t>
  </si>
  <si>
    <t>Plástica 2B</t>
  </si>
  <si>
    <t>Plástica 2C</t>
  </si>
  <si>
    <t>Plástica 3A</t>
  </si>
  <si>
    <t>Plástica 3B</t>
  </si>
  <si>
    <t>Plástica 3C</t>
  </si>
  <si>
    <t>Plástica 5N</t>
  </si>
  <si>
    <t>Plástica 6E</t>
  </si>
  <si>
    <t>Arte 6S</t>
  </si>
  <si>
    <t>Taller Contable 3A</t>
  </si>
  <si>
    <t>Taller Contable 3B</t>
  </si>
  <si>
    <t>Taller Contable 3C</t>
  </si>
  <si>
    <t>Física 4E</t>
  </si>
  <si>
    <t>Física 4S</t>
  </si>
  <si>
    <t>Física 4N</t>
  </si>
  <si>
    <t>Física 5E</t>
  </si>
  <si>
    <t>Física 5S</t>
  </si>
  <si>
    <t>Física 5N</t>
  </si>
  <si>
    <t>Física 6N</t>
  </si>
  <si>
    <t>To 4E</t>
  </si>
  <si>
    <t>Salud y Adolescencia 4E</t>
  </si>
  <si>
    <t>Salud y Adolescencia 4S</t>
  </si>
  <si>
    <t>Salud y Adolescencia 4N</t>
  </si>
  <si>
    <t>SIC I 4E</t>
  </si>
  <si>
    <t>Psicología 4S</t>
  </si>
  <si>
    <t>Química 4N</t>
  </si>
  <si>
    <t>Química 5E</t>
  </si>
  <si>
    <t>Química 5N</t>
  </si>
  <si>
    <t>Química 6N</t>
  </si>
  <si>
    <t>Intr a la quimica 5S</t>
  </si>
  <si>
    <t>Micro y Macro 5E</t>
  </si>
  <si>
    <t>SIC II 5E</t>
  </si>
  <si>
    <t>Pol. y Ciudadanía 5E</t>
  </si>
  <si>
    <t>Pol. y Ciudadanía 5S</t>
  </si>
  <si>
    <t>Pol. y Ciudadanía 5N</t>
  </si>
  <si>
    <t>Gestión 5E</t>
  </si>
  <si>
    <t>Derecho 5E</t>
  </si>
  <si>
    <t>Cult. y Comunicación 5S</t>
  </si>
  <si>
    <t>Sociología 5S</t>
  </si>
  <si>
    <t>Economía Política 5S</t>
  </si>
  <si>
    <t>Economía Política 6E</t>
  </si>
  <si>
    <t>Cs.Tierra 5N</t>
  </si>
  <si>
    <t>Filosofía 6E</t>
  </si>
  <si>
    <t>Filosofía 6S</t>
  </si>
  <si>
    <t>Filosofía 6N</t>
  </si>
  <si>
    <t>Proyecto Organizacional 6E</t>
  </si>
  <si>
    <t>Sociedad y Estado 6E</t>
  </si>
  <si>
    <t>Sociedad y Estado 6N</t>
  </si>
  <si>
    <t>Trabajo y Ciudadanía 6E</t>
  </si>
  <si>
    <t>Trabajo y Ciudadanía 6S</t>
  </si>
  <si>
    <t>Trabajo y Ciudadanía 6N</t>
  </si>
  <si>
    <t>Taller Impositivo Laboral 6E</t>
  </si>
  <si>
    <t>Proyecto de Investigación 6S</t>
  </si>
  <si>
    <t>ADS 6N</t>
  </si>
  <si>
    <t>Taller FHC 5E</t>
  </si>
  <si>
    <t>Taller FHC 5S</t>
  </si>
  <si>
    <t>Taller FHC 5N</t>
  </si>
  <si>
    <t>Taller FHC 6E</t>
  </si>
  <si>
    <t>Taller FHC 6S</t>
  </si>
  <si>
    <t>Taller FHC 6N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</si>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</sst>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99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" numFmtId="0" xfId="0" applyFont="1"/>
    <xf borderId="2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bj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228" displayName="Class_Subjects_Schedule" name="Class_Subjects_Schedule" id="1">
  <tableColumns count="6">
    <tableColumn name="Subject" id="1"/>
    <tableColumn name="Number of lessons" id="2"/>
    <tableColumn name="Duration (Hours)" id="3"/>
    <tableColumn name="Total Hours" id="4"/>
    <tableColumn name="Professor" id="5"/>
    <tableColumn name="Course" id="6"/>
  </tableColumns>
  <tableStyleInfo name="Subj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0.0"/>
    <col customWidth="1" min="5" max="5" width="19.1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</row>
    <row r="2">
      <c r="A2" s="2">
        <f t="shared" ref="A2:E2" si="1">COUNTA(A3:A1000)</f>
        <v>18</v>
      </c>
      <c r="B2" s="2">
        <f t="shared" si="1"/>
        <v>75</v>
      </c>
      <c r="C2" s="2">
        <f t="shared" si="1"/>
        <v>226</v>
      </c>
      <c r="D2" s="2">
        <f t="shared" si="1"/>
        <v>5</v>
      </c>
      <c r="E2" s="2">
        <f t="shared" si="1"/>
        <v>8</v>
      </c>
    </row>
    <row r="3">
      <c r="A3" s="3" t="s">
        <v>8</v>
      </c>
      <c r="B3" s="3" t="s">
        <v>9</v>
      </c>
      <c r="C3" s="3" t="s">
        <v>10</v>
      </c>
      <c r="D3" s="4" t="s">
        <v>11</v>
      </c>
      <c r="E3" s="3" t="s">
        <v>12</v>
      </c>
    </row>
    <row r="4">
      <c r="A4" s="3" t="s">
        <v>13</v>
      </c>
      <c r="B4" s="3" t="s">
        <v>14</v>
      </c>
      <c r="C4" s="3" t="s">
        <v>15</v>
      </c>
      <c r="D4" s="4" t="s">
        <v>16</v>
      </c>
      <c r="E4" s="3" t="s">
        <v>17</v>
      </c>
    </row>
    <row r="5">
      <c r="A5" s="3" t="s">
        <v>18</v>
      </c>
      <c r="B5" s="3" t="s">
        <v>19</v>
      </c>
      <c r="C5" s="3" t="s">
        <v>20</v>
      </c>
      <c r="D5" s="4" t="s">
        <v>21</v>
      </c>
      <c r="E5" s="3" t="s">
        <v>22</v>
      </c>
    </row>
    <row r="6">
      <c r="A6" s="3" t="s">
        <v>23</v>
      </c>
      <c r="B6" s="3" t="s">
        <v>24</v>
      </c>
      <c r="C6" s="3" t="s">
        <v>25</v>
      </c>
      <c r="D6" s="4" t="s">
        <v>26</v>
      </c>
      <c r="E6" s="3" t="s">
        <v>27</v>
      </c>
    </row>
    <row r="7">
      <c r="A7" s="3" t="s">
        <v>28</v>
      </c>
      <c r="B7" s="3" t="s">
        <v>29</v>
      </c>
      <c r="C7" s="3" t="s">
        <v>30</v>
      </c>
      <c r="D7" s="4" t="s">
        <v>31</v>
      </c>
      <c r="E7" s="3" t="s">
        <v>32</v>
      </c>
    </row>
    <row r="8">
      <c r="A8" s="3" t="s">
        <v>33</v>
      </c>
      <c r="B8" s="3" t="s">
        <v>34</v>
      </c>
      <c r="C8" s="3" t="s">
        <v>35</v>
      </c>
      <c r="D8" s="5"/>
      <c r="E8" s="3" t="s">
        <v>36</v>
      </c>
    </row>
    <row r="9">
      <c r="A9" s="3" t="s">
        <v>37</v>
      </c>
      <c r="B9" s="3" t="s">
        <v>38</v>
      </c>
      <c r="C9" s="3" t="s">
        <v>39</v>
      </c>
      <c r="D9" s="5"/>
      <c r="E9" s="3" t="s">
        <v>40</v>
      </c>
    </row>
    <row r="10">
      <c r="A10" s="3" t="s">
        <v>41</v>
      </c>
      <c r="B10" s="3" t="s">
        <v>42</v>
      </c>
      <c r="C10" s="3" t="s">
        <v>43</v>
      </c>
      <c r="D10" s="5"/>
      <c r="E10" s="3" t="s">
        <v>44</v>
      </c>
    </row>
    <row r="11">
      <c r="A11" s="3" t="s">
        <v>45</v>
      </c>
      <c r="B11" s="3" t="s">
        <v>46</v>
      </c>
      <c r="C11" s="3" t="s">
        <v>47</v>
      </c>
      <c r="D11" s="5"/>
      <c r="E11" s="7"/>
    </row>
    <row r="12">
      <c r="A12" s="3" t="s">
        <v>48</v>
      </c>
      <c r="B12" s="3" t="s">
        <v>49</v>
      </c>
      <c r="C12" s="3" t="s">
        <v>50</v>
      </c>
      <c r="D12" s="5"/>
      <c r="E12" s="7"/>
    </row>
    <row r="13">
      <c r="A13" s="3" t="s">
        <v>51</v>
      </c>
      <c r="B13" s="3" t="s">
        <v>52</v>
      </c>
      <c r="C13" s="3" t="s">
        <v>53</v>
      </c>
      <c r="D13" s="5"/>
      <c r="E13" s="7"/>
    </row>
    <row r="14">
      <c r="A14" s="3" t="s">
        <v>54</v>
      </c>
      <c r="B14" s="3" t="s">
        <v>55</v>
      </c>
      <c r="C14" s="3" t="s">
        <v>56</v>
      </c>
      <c r="D14" s="5"/>
      <c r="E14" s="7"/>
    </row>
    <row r="15">
      <c r="A15" s="3" t="s">
        <v>57</v>
      </c>
      <c r="B15" s="3" t="s">
        <v>58</v>
      </c>
      <c r="C15" s="3" t="s">
        <v>59</v>
      </c>
      <c r="D15" s="5"/>
      <c r="E15" s="7"/>
    </row>
    <row r="16">
      <c r="A16" s="3" t="s">
        <v>60</v>
      </c>
      <c r="B16" s="3" t="s">
        <v>61</v>
      </c>
      <c r="C16" s="3" t="s">
        <v>62</v>
      </c>
      <c r="D16" s="5"/>
      <c r="E16" s="7"/>
    </row>
    <row r="17">
      <c r="A17" s="3" t="s">
        <v>63</v>
      </c>
      <c r="B17" s="3" t="s">
        <v>64</v>
      </c>
      <c r="C17" s="3" t="s">
        <v>65</v>
      </c>
      <c r="D17" s="5"/>
      <c r="E17" s="7"/>
    </row>
    <row r="18">
      <c r="A18" s="3" t="s">
        <v>66</v>
      </c>
      <c r="B18" s="3" t="s">
        <v>67</v>
      </c>
      <c r="C18" s="3" t="s">
        <v>68</v>
      </c>
      <c r="D18" s="5"/>
      <c r="E18" s="7"/>
    </row>
    <row r="19">
      <c r="A19" s="3" t="s">
        <v>69</v>
      </c>
      <c r="B19" s="3" t="s">
        <v>70</v>
      </c>
      <c r="C19" s="3" t="s">
        <v>71</v>
      </c>
      <c r="D19" s="5"/>
      <c r="E19" s="7"/>
    </row>
    <row r="20">
      <c r="A20" s="3" t="s">
        <v>72</v>
      </c>
      <c r="B20" s="3" t="s">
        <v>73</v>
      </c>
      <c r="C20" s="3" t="s">
        <v>74</v>
      </c>
      <c r="D20" s="5"/>
      <c r="E20" s="7"/>
    </row>
    <row r="21">
      <c r="A21" s="7"/>
      <c r="B21" s="3" t="s">
        <v>75</v>
      </c>
      <c r="C21" s="3" t="s">
        <v>76</v>
      </c>
      <c r="D21" s="5"/>
      <c r="E21" s="7"/>
    </row>
    <row r="22">
      <c r="A22" s="7"/>
      <c r="B22" s="3" t="s">
        <v>78</v>
      </c>
      <c r="C22" s="3" t="s">
        <v>79</v>
      </c>
      <c r="D22" s="5"/>
      <c r="E22" s="7"/>
    </row>
    <row r="23">
      <c r="A23" s="7"/>
      <c r="B23" s="3" t="s">
        <v>80</v>
      </c>
      <c r="C23" s="3" t="s">
        <v>81</v>
      </c>
      <c r="D23" s="5"/>
      <c r="E23" s="7"/>
    </row>
    <row r="24">
      <c r="A24" s="7"/>
      <c r="B24" s="3" t="s">
        <v>82</v>
      </c>
      <c r="C24" s="3" t="s">
        <v>83</v>
      </c>
      <c r="D24" s="5"/>
      <c r="E24" s="7"/>
    </row>
    <row r="25">
      <c r="A25" s="7"/>
      <c r="B25" s="3" t="s">
        <v>84</v>
      </c>
      <c r="C25" s="3" t="s">
        <v>85</v>
      </c>
      <c r="D25" s="5"/>
      <c r="E25" s="7"/>
    </row>
    <row r="26">
      <c r="A26" s="7"/>
      <c r="B26" s="3" t="s">
        <v>86</v>
      </c>
      <c r="C26" s="3" t="s">
        <v>87</v>
      </c>
      <c r="D26" s="5"/>
      <c r="E26" s="7"/>
    </row>
    <row r="27">
      <c r="A27" s="7"/>
      <c r="B27" s="3" t="s">
        <v>88</v>
      </c>
      <c r="C27" s="3" t="s">
        <v>89</v>
      </c>
      <c r="D27" s="5"/>
      <c r="E27" s="7"/>
    </row>
    <row r="28">
      <c r="A28" s="7"/>
      <c r="B28" s="3" t="s">
        <v>90</v>
      </c>
      <c r="C28" s="3" t="s">
        <v>91</v>
      </c>
      <c r="D28" s="5"/>
      <c r="E28" s="7"/>
    </row>
    <row r="29">
      <c r="A29" s="7"/>
      <c r="B29" s="3" t="s">
        <v>92</v>
      </c>
      <c r="C29" s="3" t="s">
        <v>93</v>
      </c>
      <c r="D29" s="5"/>
      <c r="E29" s="7"/>
    </row>
    <row r="30">
      <c r="A30" s="7"/>
      <c r="B30" s="3" t="s">
        <v>95</v>
      </c>
      <c r="C30" s="3" t="s">
        <v>96</v>
      </c>
      <c r="D30" s="5"/>
      <c r="E30" s="7"/>
    </row>
    <row r="31">
      <c r="A31" s="7"/>
      <c r="B31" s="3" t="s">
        <v>97</v>
      </c>
      <c r="C31" s="3" t="s">
        <v>98</v>
      </c>
      <c r="D31" s="5"/>
      <c r="E31" s="7"/>
    </row>
    <row r="32">
      <c r="A32" s="7"/>
      <c r="B32" s="3" t="s">
        <v>100</v>
      </c>
      <c r="C32" s="3" t="s">
        <v>101</v>
      </c>
      <c r="D32" s="5"/>
      <c r="E32" s="7"/>
    </row>
    <row r="33">
      <c r="A33" s="7"/>
      <c r="B33" s="3" t="s">
        <v>102</v>
      </c>
      <c r="C33" s="3" t="s">
        <v>103</v>
      </c>
      <c r="D33" s="5"/>
      <c r="E33" s="7"/>
    </row>
    <row r="34">
      <c r="A34" s="7"/>
      <c r="B34" s="3" t="s">
        <v>104</v>
      </c>
      <c r="C34" s="3" t="s">
        <v>105</v>
      </c>
      <c r="D34" s="5"/>
      <c r="E34" s="7"/>
    </row>
    <row r="35">
      <c r="A35" s="7"/>
      <c r="B35" s="3" t="s">
        <v>106</v>
      </c>
      <c r="C35" s="3" t="s">
        <v>107</v>
      </c>
      <c r="D35" s="5"/>
      <c r="E35" s="7"/>
    </row>
    <row r="36">
      <c r="A36" s="7"/>
      <c r="B36" s="3" t="s">
        <v>108</v>
      </c>
      <c r="C36" s="3" t="s">
        <v>109</v>
      </c>
      <c r="D36" s="5"/>
      <c r="E36" s="7"/>
    </row>
    <row r="37">
      <c r="A37" s="7"/>
      <c r="B37" s="3" t="s">
        <v>110</v>
      </c>
      <c r="C37" s="3" t="s">
        <v>111</v>
      </c>
      <c r="D37" s="5"/>
      <c r="E37" s="7"/>
    </row>
    <row r="38">
      <c r="A38" s="7"/>
      <c r="B38" s="3" t="s">
        <v>112</v>
      </c>
      <c r="C38" s="3" t="s">
        <v>113</v>
      </c>
      <c r="D38" s="5"/>
      <c r="E38" s="7"/>
    </row>
    <row r="39">
      <c r="A39" s="7"/>
      <c r="B39" s="3" t="s">
        <v>114</v>
      </c>
      <c r="C39" s="3" t="s">
        <v>115</v>
      </c>
      <c r="D39" s="5"/>
      <c r="E39" s="7"/>
    </row>
    <row r="40">
      <c r="A40" s="7"/>
      <c r="B40" s="3" t="s">
        <v>116</v>
      </c>
      <c r="C40" s="3" t="s">
        <v>117</v>
      </c>
      <c r="D40" s="5"/>
      <c r="E40" s="7"/>
    </row>
    <row r="41">
      <c r="A41" s="7"/>
      <c r="B41" s="3" t="s">
        <v>118</v>
      </c>
      <c r="C41" s="3" t="s">
        <v>119</v>
      </c>
      <c r="D41" s="5"/>
      <c r="E41" s="7"/>
    </row>
    <row r="42">
      <c r="A42" s="7"/>
      <c r="B42" s="3" t="s">
        <v>120</v>
      </c>
      <c r="C42" s="3" t="s">
        <v>121</v>
      </c>
      <c r="D42" s="5"/>
      <c r="E42" s="7"/>
    </row>
    <row r="43">
      <c r="A43" s="7"/>
      <c r="B43" s="3" t="s">
        <v>122</v>
      </c>
      <c r="C43" s="3" t="s">
        <v>123</v>
      </c>
      <c r="D43" s="5"/>
      <c r="E43" s="7"/>
    </row>
    <row r="44">
      <c r="A44" s="7"/>
      <c r="B44" s="3" t="s">
        <v>124</v>
      </c>
      <c r="C44" s="3" t="s">
        <v>125</v>
      </c>
      <c r="D44" s="5"/>
      <c r="E44" s="7"/>
    </row>
    <row r="45">
      <c r="A45" s="7"/>
      <c r="B45" s="3" t="s">
        <v>126</v>
      </c>
      <c r="C45" s="3" t="s">
        <v>127</v>
      </c>
      <c r="D45" s="5"/>
      <c r="E45" s="7"/>
    </row>
    <row r="46">
      <c r="A46" s="7"/>
      <c r="B46" s="3" t="s">
        <v>128</v>
      </c>
      <c r="C46" s="3" t="s">
        <v>129</v>
      </c>
      <c r="D46" s="5"/>
      <c r="E46" s="7"/>
    </row>
    <row r="47">
      <c r="A47" s="7"/>
      <c r="B47" s="3" t="s">
        <v>130</v>
      </c>
      <c r="C47" s="3" t="s">
        <v>131</v>
      </c>
      <c r="D47" s="5"/>
      <c r="E47" s="7"/>
    </row>
    <row r="48">
      <c r="A48" s="7"/>
      <c r="B48" s="3" t="s">
        <v>132</v>
      </c>
      <c r="C48" s="3" t="s">
        <v>133</v>
      </c>
      <c r="D48" s="5"/>
      <c r="E48" s="7"/>
    </row>
    <row r="49">
      <c r="A49" s="7"/>
      <c r="B49" s="3" t="s">
        <v>134</v>
      </c>
      <c r="C49" s="3" t="s">
        <v>135</v>
      </c>
      <c r="D49" s="5"/>
      <c r="E49" s="7"/>
    </row>
    <row r="50">
      <c r="A50" s="7"/>
      <c r="B50" s="3" t="s">
        <v>136</v>
      </c>
      <c r="C50" s="3" t="s">
        <v>137</v>
      </c>
      <c r="D50" s="5"/>
      <c r="E50" s="7"/>
    </row>
    <row r="51">
      <c r="A51" s="7"/>
      <c r="B51" s="3" t="s">
        <v>138</v>
      </c>
      <c r="C51" s="3" t="s">
        <v>139</v>
      </c>
      <c r="D51" s="5"/>
      <c r="E51" s="7"/>
    </row>
    <row r="52">
      <c r="A52" s="7"/>
      <c r="B52" s="3" t="s">
        <v>140</v>
      </c>
      <c r="C52" s="3" t="s">
        <v>141</v>
      </c>
      <c r="D52" s="5"/>
      <c r="E52" s="7"/>
    </row>
    <row r="53">
      <c r="A53" s="7"/>
      <c r="B53" s="3" t="s">
        <v>142</v>
      </c>
      <c r="C53" s="3" t="s">
        <v>143</v>
      </c>
      <c r="D53" s="5"/>
      <c r="E53" s="7"/>
    </row>
    <row r="54">
      <c r="A54" s="7"/>
      <c r="B54" s="3" t="s">
        <v>144</v>
      </c>
      <c r="C54" s="3" t="s">
        <v>145</v>
      </c>
      <c r="D54" s="5"/>
      <c r="E54" s="7"/>
    </row>
    <row r="55">
      <c r="A55" s="7"/>
      <c r="B55" s="3" t="s">
        <v>146</v>
      </c>
      <c r="C55" s="3" t="s">
        <v>147</v>
      </c>
      <c r="D55" s="5"/>
      <c r="E55" s="7"/>
    </row>
    <row r="56">
      <c r="A56" s="7"/>
      <c r="B56" s="3" t="s">
        <v>148</v>
      </c>
      <c r="C56" s="3" t="s">
        <v>149</v>
      </c>
      <c r="D56" s="5"/>
      <c r="E56" s="7"/>
    </row>
    <row r="57">
      <c r="A57" s="7"/>
      <c r="B57" s="3" t="s">
        <v>150</v>
      </c>
      <c r="C57" s="3" t="s">
        <v>151</v>
      </c>
      <c r="D57" s="5"/>
      <c r="E57" s="7"/>
    </row>
    <row r="58">
      <c r="A58" s="7"/>
      <c r="B58" s="3" t="s">
        <v>152</v>
      </c>
      <c r="C58" s="3" t="s">
        <v>153</v>
      </c>
      <c r="D58" s="5"/>
      <c r="E58" s="7"/>
    </row>
    <row r="59">
      <c r="A59" s="7"/>
      <c r="B59" s="3" t="s">
        <v>154</v>
      </c>
      <c r="C59" s="3" t="s">
        <v>155</v>
      </c>
      <c r="D59" s="5"/>
      <c r="E59" s="7"/>
    </row>
    <row r="60">
      <c r="A60" s="7"/>
      <c r="B60" s="1" t="s">
        <v>156</v>
      </c>
      <c r="C60" s="3" t="s">
        <v>157</v>
      </c>
      <c r="D60" s="5"/>
      <c r="E60" s="7"/>
    </row>
    <row r="61">
      <c r="A61" s="7"/>
      <c r="B61" s="1" t="s">
        <v>158</v>
      </c>
      <c r="C61" s="3" t="s">
        <v>159</v>
      </c>
      <c r="D61" s="5"/>
      <c r="E61" s="7"/>
    </row>
    <row r="62">
      <c r="A62" s="7"/>
      <c r="B62" s="1" t="s">
        <v>160</v>
      </c>
      <c r="C62" s="3" t="s">
        <v>161</v>
      </c>
      <c r="D62" s="5"/>
      <c r="E62" s="7"/>
    </row>
    <row r="63">
      <c r="A63" s="7"/>
      <c r="B63" s="1" t="s">
        <v>162</v>
      </c>
      <c r="C63" s="3" t="s">
        <v>163</v>
      </c>
      <c r="D63" s="5"/>
      <c r="E63" s="7"/>
    </row>
    <row r="64">
      <c r="A64" s="7"/>
      <c r="B64" s="1" t="s">
        <v>164</v>
      </c>
      <c r="C64" s="3" t="s">
        <v>165</v>
      </c>
      <c r="D64" s="5"/>
      <c r="E64" s="7"/>
    </row>
    <row r="65">
      <c r="A65" s="7"/>
      <c r="B65" s="1" t="s">
        <v>166</v>
      </c>
      <c r="C65" s="3" t="s">
        <v>167</v>
      </c>
      <c r="D65" s="5"/>
      <c r="E65" s="7"/>
    </row>
    <row r="66">
      <c r="A66" s="7"/>
      <c r="B66" s="1" t="s">
        <v>168</v>
      </c>
      <c r="C66" s="3" t="s">
        <v>169</v>
      </c>
      <c r="D66" s="5"/>
      <c r="E66" s="7"/>
    </row>
    <row r="67">
      <c r="A67" s="7"/>
      <c r="B67" s="1" t="s">
        <v>170</v>
      </c>
      <c r="C67" s="3" t="s">
        <v>171</v>
      </c>
      <c r="D67" s="5"/>
      <c r="E67" s="7"/>
    </row>
    <row r="68">
      <c r="A68" s="7"/>
      <c r="B68" s="1" t="s">
        <v>172</v>
      </c>
      <c r="C68" s="3" t="s">
        <v>173</v>
      </c>
      <c r="D68" s="5"/>
      <c r="E68" s="7"/>
    </row>
    <row r="69">
      <c r="A69" s="7"/>
      <c r="B69" s="1" t="s">
        <v>174</v>
      </c>
      <c r="C69" s="3" t="s">
        <v>175</v>
      </c>
      <c r="D69" s="5"/>
      <c r="E69" s="7"/>
    </row>
    <row r="70">
      <c r="A70" s="7"/>
      <c r="B70" s="1" t="s">
        <v>176</v>
      </c>
      <c r="C70" s="3" t="s">
        <v>177</v>
      </c>
      <c r="D70" s="5"/>
      <c r="E70" s="7"/>
    </row>
    <row r="71">
      <c r="A71" s="7"/>
      <c r="B71" s="1" t="s">
        <v>178</v>
      </c>
      <c r="C71" s="3" t="s">
        <v>179</v>
      </c>
      <c r="D71" s="5"/>
      <c r="E71" s="7"/>
    </row>
    <row r="72">
      <c r="A72" s="7"/>
      <c r="B72" s="1" t="s">
        <v>180</v>
      </c>
      <c r="C72" s="3" t="s">
        <v>181</v>
      </c>
      <c r="D72" s="5"/>
      <c r="E72" s="7"/>
    </row>
    <row r="73">
      <c r="A73" s="7"/>
      <c r="B73" s="1" t="s">
        <v>182</v>
      </c>
      <c r="C73" s="3" t="s">
        <v>183</v>
      </c>
      <c r="D73" s="5"/>
      <c r="E73" s="7"/>
    </row>
    <row r="74">
      <c r="A74" s="7"/>
      <c r="B74" s="1" t="s">
        <v>184</v>
      </c>
      <c r="C74" s="3" t="s">
        <v>185</v>
      </c>
      <c r="D74" s="5"/>
      <c r="E74" s="7"/>
    </row>
    <row r="75">
      <c r="A75" s="7"/>
      <c r="B75" s="1" t="s">
        <v>186</v>
      </c>
      <c r="C75" s="3" t="s">
        <v>187</v>
      </c>
      <c r="D75" s="5"/>
      <c r="E75" s="7"/>
    </row>
    <row r="76">
      <c r="A76" s="7"/>
      <c r="B76" s="1" t="s">
        <v>188</v>
      </c>
      <c r="C76" s="3" t="s">
        <v>189</v>
      </c>
      <c r="D76" s="5"/>
      <c r="E76" s="7"/>
    </row>
    <row r="77">
      <c r="A77" s="7"/>
      <c r="B77" s="1" t="s">
        <v>190</v>
      </c>
      <c r="C77" s="3" t="s">
        <v>191</v>
      </c>
      <c r="D77" s="5"/>
      <c r="E77" s="7"/>
    </row>
    <row r="78">
      <c r="A78" s="7"/>
      <c r="B78" s="7"/>
      <c r="C78" s="3" t="s">
        <v>192</v>
      </c>
      <c r="D78" s="5"/>
      <c r="E78" s="7"/>
    </row>
    <row r="79">
      <c r="A79" s="7"/>
      <c r="B79" s="7"/>
      <c r="C79" s="3" t="s">
        <v>193</v>
      </c>
      <c r="D79" s="5"/>
      <c r="E79" s="7"/>
    </row>
    <row r="80">
      <c r="A80" s="7"/>
      <c r="B80" s="7"/>
      <c r="C80" s="3" t="s">
        <v>194</v>
      </c>
      <c r="D80" s="5"/>
      <c r="E80" s="7"/>
    </row>
    <row r="81">
      <c r="A81" s="7"/>
      <c r="B81" s="7"/>
      <c r="C81" s="3" t="s">
        <v>195</v>
      </c>
      <c r="D81" s="5"/>
      <c r="E81" s="7"/>
    </row>
    <row r="82">
      <c r="A82" s="7"/>
      <c r="B82" s="7"/>
      <c r="C82" s="3" t="s">
        <v>196</v>
      </c>
      <c r="D82" s="5"/>
      <c r="E82" s="7"/>
    </row>
    <row r="83">
      <c r="A83" s="7"/>
      <c r="B83" s="7"/>
      <c r="C83" s="3" t="s">
        <v>197</v>
      </c>
      <c r="D83" s="5"/>
      <c r="E83" s="7"/>
    </row>
    <row r="84">
      <c r="A84" s="7"/>
      <c r="B84" s="7"/>
      <c r="C84" s="3" t="s">
        <v>198</v>
      </c>
      <c r="D84" s="5"/>
      <c r="E84" s="7"/>
    </row>
    <row r="85">
      <c r="A85" s="7"/>
      <c r="B85" s="7"/>
      <c r="C85" s="3" t="s">
        <v>199</v>
      </c>
      <c r="D85" s="5"/>
      <c r="E85" s="7"/>
    </row>
    <row r="86">
      <c r="A86" s="7"/>
      <c r="B86" s="7"/>
      <c r="C86" s="3" t="s">
        <v>200</v>
      </c>
      <c r="D86" s="5"/>
      <c r="E86" s="7"/>
    </row>
    <row r="87">
      <c r="A87" s="7"/>
      <c r="B87" s="7"/>
      <c r="C87" s="3" t="s">
        <v>201</v>
      </c>
      <c r="D87" s="5"/>
      <c r="E87" s="7"/>
    </row>
    <row r="88">
      <c r="A88" s="7"/>
      <c r="B88" s="7"/>
      <c r="C88" s="3" t="s">
        <v>202</v>
      </c>
      <c r="D88" s="5"/>
      <c r="E88" s="7"/>
    </row>
    <row r="89">
      <c r="A89" s="7"/>
      <c r="B89" s="7"/>
      <c r="C89" s="3" t="s">
        <v>203</v>
      </c>
      <c r="D89" s="5"/>
      <c r="E89" s="7"/>
    </row>
    <row r="90">
      <c r="A90" s="7"/>
      <c r="B90" s="7"/>
      <c r="C90" s="3" t="s">
        <v>204</v>
      </c>
      <c r="D90" s="5"/>
      <c r="E90" s="7"/>
    </row>
    <row r="91">
      <c r="A91" s="7"/>
      <c r="B91" s="7"/>
      <c r="C91" s="3" t="s">
        <v>205</v>
      </c>
      <c r="D91" s="5"/>
      <c r="E91" s="7"/>
    </row>
    <row r="92">
      <c r="A92" s="7"/>
      <c r="B92" s="7"/>
      <c r="C92" s="3" t="s">
        <v>206</v>
      </c>
      <c r="D92" s="5"/>
      <c r="E92" s="7"/>
    </row>
    <row r="93">
      <c r="A93" s="7"/>
      <c r="B93" s="7"/>
      <c r="C93" s="3" t="s">
        <v>207</v>
      </c>
      <c r="D93" s="5"/>
      <c r="E93" s="7"/>
    </row>
    <row r="94">
      <c r="A94" s="7"/>
      <c r="B94" s="7"/>
      <c r="C94" s="3" t="s">
        <v>208</v>
      </c>
      <c r="D94" s="5"/>
      <c r="E94" s="7"/>
    </row>
    <row r="95">
      <c r="A95" s="7"/>
      <c r="B95" s="7"/>
      <c r="C95" s="3" t="s">
        <v>209</v>
      </c>
      <c r="D95" s="5"/>
      <c r="E95" s="7"/>
    </row>
    <row r="96">
      <c r="A96" s="7"/>
      <c r="B96" s="7"/>
      <c r="C96" s="3" t="s">
        <v>210</v>
      </c>
      <c r="D96" s="5"/>
      <c r="E96" s="7"/>
    </row>
    <row r="97">
      <c r="A97" s="7"/>
      <c r="B97" s="7"/>
      <c r="C97" s="3" t="s">
        <v>211</v>
      </c>
      <c r="D97" s="5"/>
      <c r="E97" s="7"/>
    </row>
    <row r="98">
      <c r="A98" s="7"/>
      <c r="B98" s="7"/>
      <c r="C98" s="3" t="s">
        <v>212</v>
      </c>
      <c r="D98" s="5"/>
      <c r="E98" s="7"/>
    </row>
    <row r="99">
      <c r="A99" s="7"/>
      <c r="B99" s="7"/>
      <c r="C99" s="3" t="s">
        <v>213</v>
      </c>
      <c r="D99" s="5"/>
      <c r="E99" s="7"/>
    </row>
    <row r="100">
      <c r="A100" s="7"/>
      <c r="B100" s="7"/>
      <c r="C100" s="3" t="s">
        <v>214</v>
      </c>
      <c r="D100" s="5"/>
      <c r="E100" s="7"/>
    </row>
    <row r="101">
      <c r="A101" s="7"/>
      <c r="B101" s="7"/>
      <c r="C101" s="3" t="s">
        <v>215</v>
      </c>
      <c r="D101" s="5"/>
      <c r="E101" s="7"/>
    </row>
    <row r="102">
      <c r="A102" s="7"/>
      <c r="B102" s="7"/>
      <c r="C102" s="3" t="s">
        <v>216</v>
      </c>
      <c r="D102" s="5"/>
      <c r="E102" s="7"/>
    </row>
    <row r="103">
      <c r="A103" s="7"/>
      <c r="B103" s="7"/>
      <c r="C103" s="3" t="s">
        <v>217</v>
      </c>
      <c r="D103" s="5"/>
      <c r="E103" s="7"/>
    </row>
    <row r="104">
      <c r="A104" s="7"/>
      <c r="B104" s="7"/>
      <c r="C104" s="3" t="s">
        <v>218</v>
      </c>
      <c r="D104" s="5"/>
      <c r="E104" s="7"/>
    </row>
    <row r="105">
      <c r="A105" s="7"/>
      <c r="B105" s="7"/>
      <c r="C105" s="3" t="s">
        <v>219</v>
      </c>
      <c r="D105" s="5"/>
      <c r="E105" s="7"/>
    </row>
    <row r="106">
      <c r="A106" s="7"/>
      <c r="B106" s="7"/>
      <c r="C106" s="3" t="s">
        <v>220</v>
      </c>
      <c r="D106" s="5"/>
      <c r="E106" s="7"/>
    </row>
    <row r="107">
      <c r="A107" s="7"/>
      <c r="B107" s="7"/>
      <c r="C107" s="3" t="s">
        <v>221</v>
      </c>
      <c r="D107" s="5"/>
      <c r="E107" s="7"/>
    </row>
    <row r="108">
      <c r="A108" s="7"/>
      <c r="B108" s="7"/>
      <c r="C108" s="3" t="s">
        <v>222</v>
      </c>
      <c r="D108" s="5"/>
      <c r="E108" s="7"/>
    </row>
    <row r="109">
      <c r="A109" s="7"/>
      <c r="B109" s="7"/>
      <c r="C109" s="3" t="s">
        <v>223</v>
      </c>
      <c r="D109" s="5"/>
      <c r="E109" s="7"/>
    </row>
    <row r="110">
      <c r="A110" s="7"/>
      <c r="B110" s="7"/>
      <c r="C110" s="3" t="s">
        <v>224</v>
      </c>
      <c r="D110" s="5"/>
      <c r="E110" s="7"/>
    </row>
    <row r="111">
      <c r="A111" s="7"/>
      <c r="B111" s="7"/>
      <c r="C111" s="3" t="s">
        <v>225</v>
      </c>
      <c r="D111" s="5"/>
      <c r="E111" s="7"/>
    </row>
    <row r="112">
      <c r="A112" s="7"/>
      <c r="B112" s="7"/>
      <c r="C112" s="3" t="s">
        <v>226</v>
      </c>
      <c r="D112" s="5"/>
      <c r="E112" s="7"/>
    </row>
    <row r="113">
      <c r="A113" s="7"/>
      <c r="B113" s="7"/>
      <c r="C113" s="3" t="s">
        <v>227</v>
      </c>
      <c r="D113" s="5"/>
      <c r="E113" s="7"/>
    </row>
    <row r="114">
      <c r="A114" s="7"/>
      <c r="B114" s="7"/>
      <c r="C114" s="3" t="s">
        <v>229</v>
      </c>
      <c r="D114" s="5"/>
      <c r="E114" s="7"/>
    </row>
    <row r="115">
      <c r="A115" s="7"/>
      <c r="B115" s="7"/>
      <c r="C115" s="3" t="s">
        <v>230</v>
      </c>
      <c r="D115" s="5"/>
      <c r="E115" s="7"/>
    </row>
    <row r="116">
      <c r="A116" s="7"/>
      <c r="B116" s="7"/>
      <c r="C116" s="3" t="s">
        <v>231</v>
      </c>
      <c r="D116" s="5"/>
      <c r="E116" s="7"/>
    </row>
    <row r="117">
      <c r="A117" s="7"/>
      <c r="B117" s="7"/>
      <c r="C117" s="3" t="s">
        <v>232</v>
      </c>
      <c r="D117" s="5"/>
      <c r="E117" s="7"/>
    </row>
    <row r="118">
      <c r="A118" s="7"/>
      <c r="B118" s="7"/>
      <c r="C118" s="3" t="s">
        <v>233</v>
      </c>
      <c r="D118" s="5"/>
      <c r="E118" s="7"/>
    </row>
    <row r="119">
      <c r="A119" s="7"/>
      <c r="B119" s="7"/>
      <c r="C119" s="3" t="s">
        <v>234</v>
      </c>
      <c r="D119" s="5"/>
      <c r="E119" s="7"/>
    </row>
    <row r="120">
      <c r="A120" s="7"/>
      <c r="B120" s="7"/>
      <c r="C120" s="3" t="s">
        <v>235</v>
      </c>
      <c r="D120" s="5"/>
      <c r="E120" s="7"/>
    </row>
    <row r="121">
      <c r="A121" s="7"/>
      <c r="B121" s="7"/>
      <c r="C121" s="3" t="s">
        <v>236</v>
      </c>
      <c r="D121" s="5"/>
      <c r="E121" s="7"/>
    </row>
    <row r="122">
      <c r="A122" s="7"/>
      <c r="B122" s="7"/>
      <c r="C122" s="3" t="s">
        <v>237</v>
      </c>
      <c r="D122" s="5"/>
      <c r="E122" s="7"/>
    </row>
    <row r="123">
      <c r="A123" s="7"/>
      <c r="B123" s="7"/>
      <c r="C123" s="3" t="s">
        <v>238</v>
      </c>
      <c r="D123" s="5"/>
      <c r="E123" s="7"/>
    </row>
    <row r="124">
      <c r="A124" s="7"/>
      <c r="B124" s="7"/>
      <c r="C124" s="3" t="s">
        <v>239</v>
      </c>
      <c r="D124" s="5"/>
      <c r="E124" s="7"/>
    </row>
    <row r="125">
      <c r="A125" s="7"/>
      <c r="B125" s="7"/>
      <c r="C125" s="3" t="s">
        <v>240</v>
      </c>
      <c r="D125" s="5"/>
      <c r="E125" s="7"/>
    </row>
    <row r="126">
      <c r="A126" s="7"/>
      <c r="B126" s="7"/>
      <c r="C126" s="3" t="s">
        <v>241</v>
      </c>
      <c r="D126" s="5"/>
      <c r="E126" s="7"/>
    </row>
    <row r="127">
      <c r="A127" s="7"/>
      <c r="B127" s="7"/>
      <c r="C127" s="3" t="s">
        <v>242</v>
      </c>
      <c r="D127" s="5"/>
      <c r="E127" s="7"/>
    </row>
    <row r="128">
      <c r="A128" s="7"/>
      <c r="B128" s="7"/>
      <c r="C128" s="3" t="s">
        <v>243</v>
      </c>
      <c r="D128" s="5"/>
      <c r="E128" s="7"/>
    </row>
    <row r="129">
      <c r="A129" s="7"/>
      <c r="B129" s="7"/>
      <c r="C129" s="3" t="s">
        <v>244</v>
      </c>
      <c r="D129" s="5"/>
      <c r="E129" s="7"/>
    </row>
    <row r="130">
      <c r="A130" s="7"/>
      <c r="B130" s="7"/>
      <c r="C130" s="3" t="s">
        <v>246</v>
      </c>
      <c r="D130" s="5"/>
      <c r="E130" s="7"/>
    </row>
    <row r="131">
      <c r="A131" s="7"/>
      <c r="B131" s="7"/>
      <c r="C131" s="3" t="s">
        <v>247</v>
      </c>
      <c r="D131" s="5"/>
      <c r="E131" s="7"/>
    </row>
    <row r="132">
      <c r="A132" s="7"/>
      <c r="B132" s="7"/>
      <c r="C132" s="3" t="s">
        <v>248</v>
      </c>
      <c r="D132" s="5"/>
      <c r="E132" s="7"/>
    </row>
    <row r="133">
      <c r="A133" s="7"/>
      <c r="B133" s="7"/>
      <c r="C133" s="3" t="s">
        <v>249</v>
      </c>
      <c r="D133" s="5"/>
      <c r="E133" s="7"/>
    </row>
    <row r="134">
      <c r="A134" s="7"/>
      <c r="B134" s="7"/>
      <c r="C134" s="3" t="s">
        <v>250</v>
      </c>
      <c r="D134" s="5"/>
      <c r="E134" s="7"/>
    </row>
    <row r="135">
      <c r="A135" s="7"/>
      <c r="B135" s="7"/>
      <c r="C135" s="3" t="s">
        <v>252</v>
      </c>
      <c r="D135" s="5"/>
      <c r="E135" s="7"/>
    </row>
    <row r="136">
      <c r="A136" s="7"/>
      <c r="B136" s="7"/>
      <c r="C136" s="3" t="s">
        <v>253</v>
      </c>
      <c r="D136" s="5"/>
      <c r="E136" s="7"/>
    </row>
    <row r="137">
      <c r="A137" s="7"/>
      <c r="B137" s="7"/>
      <c r="C137" s="3" t="s">
        <v>254</v>
      </c>
      <c r="D137" s="5"/>
      <c r="E137" s="7"/>
    </row>
    <row r="138">
      <c r="A138" s="7"/>
      <c r="B138" s="7"/>
      <c r="C138" s="3" t="s">
        <v>256</v>
      </c>
      <c r="D138" s="5"/>
      <c r="E138" s="7"/>
    </row>
    <row r="139">
      <c r="A139" s="7"/>
      <c r="B139" s="7"/>
      <c r="C139" s="3" t="s">
        <v>257</v>
      </c>
      <c r="D139" s="5"/>
      <c r="E139" s="7"/>
    </row>
    <row r="140">
      <c r="A140" s="7"/>
      <c r="B140" s="7"/>
      <c r="C140" s="3" t="s">
        <v>258</v>
      </c>
      <c r="D140" s="5"/>
      <c r="E140" s="7"/>
    </row>
    <row r="141">
      <c r="A141" s="7"/>
      <c r="B141" s="7"/>
      <c r="C141" s="3" t="s">
        <v>259</v>
      </c>
      <c r="D141" s="5"/>
      <c r="E141" s="7"/>
    </row>
    <row r="142">
      <c r="A142" s="7"/>
      <c r="B142" s="7"/>
      <c r="C142" s="3" t="s">
        <v>262</v>
      </c>
      <c r="D142" s="5"/>
      <c r="E142" s="7"/>
    </row>
    <row r="143">
      <c r="A143" s="7"/>
      <c r="B143" s="7"/>
      <c r="C143" s="3" t="s">
        <v>263</v>
      </c>
      <c r="D143" s="5"/>
      <c r="E143" s="7"/>
    </row>
    <row r="144">
      <c r="A144" s="7"/>
      <c r="B144" s="7"/>
      <c r="C144" s="3" t="s">
        <v>264</v>
      </c>
      <c r="D144" s="5"/>
      <c r="E144" s="7"/>
    </row>
    <row r="145">
      <c r="A145" s="7"/>
      <c r="B145" s="7"/>
      <c r="C145" s="3" t="s">
        <v>265</v>
      </c>
      <c r="D145" s="5"/>
      <c r="E145" s="7"/>
    </row>
    <row r="146">
      <c r="A146" s="7"/>
      <c r="B146" s="7"/>
      <c r="C146" s="3" t="s">
        <v>266</v>
      </c>
      <c r="D146" s="5"/>
      <c r="E146" s="7"/>
    </row>
    <row r="147">
      <c r="A147" s="7"/>
      <c r="B147" s="7"/>
      <c r="C147" s="3" t="s">
        <v>267</v>
      </c>
      <c r="D147" s="5"/>
      <c r="E147" s="7"/>
    </row>
    <row r="148">
      <c r="A148" s="7"/>
      <c r="B148" s="7"/>
      <c r="C148" s="3" t="s">
        <v>268</v>
      </c>
      <c r="D148" s="5"/>
      <c r="E148" s="7"/>
    </row>
    <row r="149">
      <c r="A149" s="7"/>
      <c r="B149" s="7"/>
      <c r="C149" s="3" t="s">
        <v>269</v>
      </c>
      <c r="D149" s="5"/>
      <c r="E149" s="7"/>
    </row>
    <row r="150">
      <c r="A150" s="7"/>
      <c r="B150" s="7"/>
      <c r="C150" s="3" t="s">
        <v>270</v>
      </c>
      <c r="D150" s="5"/>
      <c r="E150" s="7"/>
    </row>
    <row r="151">
      <c r="A151" s="7"/>
      <c r="B151" s="7"/>
      <c r="C151" s="3" t="s">
        <v>271</v>
      </c>
      <c r="D151" s="5"/>
      <c r="E151" s="7"/>
    </row>
    <row r="152">
      <c r="A152" s="7"/>
      <c r="B152" s="7"/>
      <c r="C152" s="3" t="s">
        <v>272</v>
      </c>
      <c r="D152" s="5"/>
      <c r="E152" s="7"/>
    </row>
    <row r="153">
      <c r="A153" s="7"/>
      <c r="B153" s="7"/>
      <c r="C153" s="3" t="s">
        <v>273</v>
      </c>
      <c r="D153" s="5"/>
      <c r="E153" s="7"/>
    </row>
    <row r="154">
      <c r="A154" s="7"/>
      <c r="B154" s="7"/>
      <c r="C154" s="3" t="s">
        <v>274</v>
      </c>
      <c r="D154" s="5"/>
      <c r="E154" s="7"/>
    </row>
    <row r="155">
      <c r="A155" s="7"/>
      <c r="B155" s="7"/>
      <c r="C155" s="3" t="s">
        <v>275</v>
      </c>
      <c r="D155" s="5"/>
      <c r="E155" s="7"/>
    </row>
    <row r="156">
      <c r="A156" s="7"/>
      <c r="B156" s="7"/>
      <c r="C156" s="3" t="s">
        <v>276</v>
      </c>
      <c r="D156" s="5"/>
      <c r="E156" s="7"/>
    </row>
    <row r="157">
      <c r="A157" s="7"/>
      <c r="B157" s="7"/>
      <c r="C157" s="3" t="s">
        <v>277</v>
      </c>
      <c r="D157" s="5"/>
      <c r="E157" s="7"/>
    </row>
    <row r="158">
      <c r="A158" s="7"/>
      <c r="B158" s="7"/>
      <c r="C158" s="3" t="s">
        <v>278</v>
      </c>
      <c r="D158" s="5"/>
      <c r="E158" s="7"/>
    </row>
    <row r="159">
      <c r="A159" s="7"/>
      <c r="B159" s="7"/>
      <c r="C159" s="3" t="s">
        <v>279</v>
      </c>
      <c r="D159" s="5"/>
      <c r="E159" s="7"/>
    </row>
    <row r="160">
      <c r="A160" s="7"/>
      <c r="B160" s="7"/>
      <c r="C160" s="3" t="s">
        <v>280</v>
      </c>
      <c r="D160" s="5"/>
      <c r="E160" s="7"/>
    </row>
    <row r="161">
      <c r="A161" s="7"/>
      <c r="B161" s="7"/>
      <c r="C161" s="3" t="s">
        <v>281</v>
      </c>
      <c r="D161" s="5"/>
      <c r="E161" s="7"/>
    </row>
    <row r="162">
      <c r="A162" s="7"/>
      <c r="B162" s="7"/>
      <c r="C162" s="3" t="s">
        <v>282</v>
      </c>
      <c r="D162" s="5"/>
      <c r="E162" s="7"/>
    </row>
    <row r="163">
      <c r="A163" s="7"/>
      <c r="B163" s="7"/>
      <c r="C163" s="3" t="s">
        <v>283</v>
      </c>
      <c r="D163" s="5"/>
      <c r="E163" s="7"/>
    </row>
    <row r="164">
      <c r="A164" s="7"/>
      <c r="B164" s="7"/>
      <c r="C164" s="3" t="s">
        <v>284</v>
      </c>
      <c r="D164" s="5"/>
      <c r="E164" s="7"/>
    </row>
    <row r="165">
      <c r="A165" s="7"/>
      <c r="B165" s="7"/>
      <c r="C165" s="3" t="s">
        <v>285</v>
      </c>
      <c r="D165" s="5"/>
      <c r="E165" s="7"/>
    </row>
    <row r="166">
      <c r="A166" s="7"/>
      <c r="B166" s="7"/>
      <c r="C166" s="3" t="s">
        <v>286</v>
      </c>
      <c r="D166" s="5"/>
      <c r="E166" s="7"/>
    </row>
    <row r="167">
      <c r="A167" s="7"/>
      <c r="B167" s="7"/>
      <c r="C167" s="3" t="s">
        <v>287</v>
      </c>
      <c r="D167" s="5"/>
      <c r="E167" s="7"/>
    </row>
    <row r="168">
      <c r="A168" s="7"/>
      <c r="B168" s="7"/>
      <c r="C168" s="3" t="s">
        <v>288</v>
      </c>
      <c r="D168" s="5"/>
      <c r="E168" s="7"/>
    </row>
    <row r="169">
      <c r="A169" s="7"/>
      <c r="B169" s="7"/>
      <c r="C169" s="3" t="s">
        <v>289</v>
      </c>
      <c r="D169" s="5"/>
      <c r="E169" s="7"/>
    </row>
    <row r="170">
      <c r="A170" s="7"/>
      <c r="B170" s="7"/>
      <c r="C170" s="3" t="s">
        <v>290</v>
      </c>
      <c r="D170" s="5"/>
      <c r="E170" s="7"/>
    </row>
    <row r="171">
      <c r="A171" s="7"/>
      <c r="B171" s="7"/>
      <c r="C171" s="3" t="s">
        <v>291</v>
      </c>
      <c r="D171" s="5"/>
      <c r="E171" s="7"/>
    </row>
    <row r="172">
      <c r="A172" s="7"/>
      <c r="B172" s="7"/>
      <c r="C172" s="3" t="s">
        <v>292</v>
      </c>
      <c r="D172" s="5"/>
      <c r="E172" s="7"/>
    </row>
    <row r="173">
      <c r="A173" s="7"/>
      <c r="B173" s="7"/>
      <c r="C173" s="3" t="s">
        <v>293</v>
      </c>
      <c r="D173" s="5"/>
      <c r="E173" s="7"/>
    </row>
    <row r="174">
      <c r="A174" s="7"/>
      <c r="B174" s="7"/>
      <c r="C174" s="3" t="s">
        <v>294</v>
      </c>
      <c r="D174" s="5"/>
      <c r="E174" s="7"/>
    </row>
    <row r="175">
      <c r="A175" s="7"/>
      <c r="B175" s="7"/>
      <c r="C175" s="3" t="s">
        <v>295</v>
      </c>
      <c r="D175" s="5"/>
      <c r="E175" s="7"/>
    </row>
    <row r="176">
      <c r="A176" s="7"/>
      <c r="B176" s="7"/>
      <c r="C176" s="3" t="s">
        <v>296</v>
      </c>
      <c r="D176" s="5"/>
      <c r="E176" s="7"/>
    </row>
    <row r="177">
      <c r="A177" s="7"/>
      <c r="B177" s="7"/>
      <c r="C177" s="3" t="s">
        <v>297</v>
      </c>
      <c r="D177" s="5"/>
      <c r="E177" s="7"/>
    </row>
    <row r="178">
      <c r="A178" s="7"/>
      <c r="B178" s="7"/>
      <c r="C178" s="3" t="s">
        <v>298</v>
      </c>
      <c r="D178" s="5"/>
      <c r="E178" s="7"/>
    </row>
    <row r="179">
      <c r="A179" s="7"/>
      <c r="B179" s="7"/>
      <c r="C179" s="3" t="s">
        <v>299</v>
      </c>
      <c r="D179" s="5"/>
      <c r="E179" s="7"/>
    </row>
    <row r="180">
      <c r="A180" s="7"/>
      <c r="B180" s="7"/>
      <c r="C180" s="3" t="s">
        <v>300</v>
      </c>
      <c r="D180" s="5"/>
      <c r="E180" s="7"/>
    </row>
    <row r="181">
      <c r="A181" s="7"/>
      <c r="B181" s="7"/>
      <c r="C181" s="3" t="s">
        <v>301</v>
      </c>
      <c r="D181" s="5"/>
      <c r="E181" s="7"/>
    </row>
    <row r="182">
      <c r="A182" s="7"/>
      <c r="B182" s="7"/>
      <c r="C182" s="3" t="s">
        <v>302</v>
      </c>
      <c r="D182" s="5"/>
      <c r="E182" s="7"/>
    </row>
    <row r="183">
      <c r="A183" s="7"/>
      <c r="B183" s="7"/>
      <c r="C183" s="3" t="s">
        <v>303</v>
      </c>
      <c r="D183" s="5"/>
      <c r="E183" s="7"/>
    </row>
    <row r="184">
      <c r="A184" s="7"/>
      <c r="B184" s="7"/>
      <c r="C184" s="3" t="s">
        <v>304</v>
      </c>
      <c r="D184" s="5"/>
      <c r="E184" s="7"/>
    </row>
    <row r="185">
      <c r="A185" s="7"/>
      <c r="B185" s="7"/>
      <c r="C185" s="3" t="s">
        <v>305</v>
      </c>
      <c r="D185" s="5"/>
      <c r="E185" s="7"/>
    </row>
    <row r="186">
      <c r="A186" s="7"/>
      <c r="B186" s="7"/>
      <c r="C186" s="3" t="s">
        <v>306</v>
      </c>
      <c r="D186" s="5"/>
      <c r="E186" s="7"/>
    </row>
    <row r="187">
      <c r="A187" s="7"/>
      <c r="B187" s="7"/>
      <c r="C187" s="3" t="s">
        <v>307</v>
      </c>
      <c r="D187" s="5"/>
      <c r="E187" s="7"/>
    </row>
    <row r="188">
      <c r="A188" s="7"/>
      <c r="B188" s="7"/>
      <c r="C188" s="3" t="s">
        <v>308</v>
      </c>
      <c r="D188" s="5"/>
      <c r="E188" s="7"/>
    </row>
    <row r="189">
      <c r="A189" s="7"/>
      <c r="B189" s="7"/>
      <c r="C189" s="3" t="s">
        <v>309</v>
      </c>
      <c r="D189" s="5"/>
      <c r="E189" s="7"/>
    </row>
    <row r="190">
      <c r="A190" s="7"/>
      <c r="B190" s="7"/>
      <c r="C190" s="3" t="s">
        <v>310</v>
      </c>
      <c r="D190" s="5"/>
      <c r="E190" s="7"/>
    </row>
    <row r="191">
      <c r="A191" s="7"/>
      <c r="B191" s="7"/>
      <c r="C191" s="3" t="s">
        <v>311</v>
      </c>
      <c r="D191" s="5"/>
      <c r="E191" s="7"/>
    </row>
    <row r="192">
      <c r="A192" s="7"/>
      <c r="B192" s="7"/>
      <c r="C192" s="3" t="s">
        <v>312</v>
      </c>
      <c r="D192" s="5"/>
      <c r="E192" s="7"/>
    </row>
    <row r="193">
      <c r="A193" s="7"/>
      <c r="B193" s="7"/>
      <c r="C193" s="3" t="s">
        <v>313</v>
      </c>
      <c r="D193" s="5"/>
      <c r="E193" s="7"/>
    </row>
    <row r="194">
      <c r="A194" s="7"/>
      <c r="B194" s="7"/>
      <c r="C194" s="3" t="s">
        <v>314</v>
      </c>
      <c r="D194" s="5"/>
      <c r="E194" s="7"/>
    </row>
    <row r="195">
      <c r="A195" s="7"/>
      <c r="B195" s="7"/>
      <c r="C195" s="3" t="s">
        <v>315</v>
      </c>
      <c r="D195" s="5"/>
      <c r="E195" s="7"/>
    </row>
    <row r="196">
      <c r="A196" s="7"/>
      <c r="B196" s="7"/>
      <c r="C196" s="3" t="s">
        <v>316</v>
      </c>
      <c r="D196" s="5"/>
      <c r="E196" s="7"/>
    </row>
    <row r="197">
      <c r="A197" s="7"/>
      <c r="B197" s="7"/>
      <c r="C197" s="3" t="s">
        <v>317</v>
      </c>
      <c r="D197" s="5"/>
      <c r="E197" s="7"/>
    </row>
    <row r="198">
      <c r="A198" s="7"/>
      <c r="B198" s="7"/>
      <c r="C198" s="3" t="s">
        <v>318</v>
      </c>
      <c r="D198" s="5"/>
      <c r="E198" s="7"/>
    </row>
    <row r="199">
      <c r="A199" s="7"/>
      <c r="B199" s="7"/>
      <c r="C199" s="3" t="s">
        <v>319</v>
      </c>
      <c r="D199" s="5"/>
      <c r="E199" s="7"/>
    </row>
    <row r="200">
      <c r="A200" s="7"/>
      <c r="B200" s="7"/>
      <c r="C200" s="3" t="s">
        <v>320</v>
      </c>
      <c r="D200" s="5"/>
      <c r="E200" s="7"/>
    </row>
    <row r="201">
      <c r="A201" s="7"/>
      <c r="B201" s="7"/>
      <c r="C201" s="3" t="s">
        <v>321</v>
      </c>
      <c r="D201" s="5"/>
      <c r="E201" s="7"/>
    </row>
    <row r="202">
      <c r="A202" s="7"/>
      <c r="B202" s="7"/>
      <c r="C202" s="3" t="s">
        <v>322</v>
      </c>
      <c r="D202" s="5"/>
      <c r="E202" s="7"/>
    </row>
    <row r="203">
      <c r="A203" s="7"/>
      <c r="B203" s="7"/>
      <c r="C203" s="3" t="s">
        <v>323</v>
      </c>
      <c r="D203" s="5"/>
      <c r="E203" s="7"/>
    </row>
    <row r="204">
      <c r="A204" s="7"/>
      <c r="B204" s="7"/>
      <c r="C204" s="3" t="s">
        <v>324</v>
      </c>
      <c r="D204" s="5"/>
      <c r="E204" s="7"/>
    </row>
    <row r="205">
      <c r="A205" s="7"/>
      <c r="B205" s="7"/>
      <c r="C205" s="3" t="s">
        <v>325</v>
      </c>
      <c r="D205" s="5"/>
      <c r="E205" s="7"/>
    </row>
    <row r="206">
      <c r="A206" s="7"/>
      <c r="B206" s="7"/>
      <c r="C206" s="3" t="s">
        <v>326</v>
      </c>
      <c r="D206" s="5"/>
      <c r="E206" s="7"/>
    </row>
    <row r="207">
      <c r="A207" s="7"/>
      <c r="B207" s="7"/>
      <c r="C207" s="3" t="s">
        <v>327</v>
      </c>
      <c r="D207" s="5"/>
      <c r="E207" s="7"/>
    </row>
    <row r="208">
      <c r="A208" s="7"/>
      <c r="B208" s="7"/>
      <c r="C208" s="3" t="s">
        <v>328</v>
      </c>
      <c r="D208" s="5"/>
      <c r="E208" s="7"/>
    </row>
    <row r="209">
      <c r="A209" s="7"/>
      <c r="B209" s="7"/>
      <c r="C209" s="3" t="s">
        <v>329</v>
      </c>
      <c r="D209" s="5"/>
      <c r="E209" s="7"/>
    </row>
    <row r="210">
      <c r="A210" s="7"/>
      <c r="B210" s="7"/>
      <c r="C210" s="3" t="s">
        <v>330</v>
      </c>
      <c r="D210" s="5"/>
      <c r="E210" s="7"/>
    </row>
    <row r="211">
      <c r="A211" s="7"/>
      <c r="B211" s="7"/>
      <c r="C211" s="3" t="s">
        <v>331</v>
      </c>
      <c r="D211" s="5"/>
      <c r="E211" s="7"/>
    </row>
    <row r="212">
      <c r="A212" s="7"/>
      <c r="B212" s="7"/>
      <c r="C212" s="3" t="s">
        <v>332</v>
      </c>
      <c r="D212" s="5"/>
      <c r="E212" s="7"/>
    </row>
    <row r="213">
      <c r="A213" s="7"/>
      <c r="B213" s="7"/>
      <c r="C213" s="3" t="s">
        <v>333</v>
      </c>
      <c r="D213" s="5"/>
      <c r="E213" s="7"/>
    </row>
    <row r="214">
      <c r="A214" s="7"/>
      <c r="B214" s="7"/>
      <c r="C214" s="3" t="s">
        <v>334</v>
      </c>
      <c r="D214" s="5"/>
      <c r="E214" s="7"/>
    </row>
    <row r="215">
      <c r="A215" s="7"/>
      <c r="B215" s="7"/>
      <c r="C215" s="3" t="s">
        <v>335</v>
      </c>
      <c r="D215" s="5"/>
      <c r="E215" s="7"/>
    </row>
    <row r="216">
      <c r="A216" s="7"/>
      <c r="B216" s="7"/>
      <c r="C216" s="3" t="s">
        <v>336</v>
      </c>
      <c r="D216" s="5"/>
      <c r="E216" s="7"/>
    </row>
    <row r="217">
      <c r="A217" s="7"/>
      <c r="B217" s="7"/>
      <c r="C217" s="3" t="s">
        <v>337</v>
      </c>
      <c r="D217" s="5"/>
      <c r="E217" s="7"/>
    </row>
    <row r="218">
      <c r="A218" s="7"/>
      <c r="B218" s="7"/>
      <c r="C218" s="3" t="s">
        <v>338</v>
      </c>
      <c r="D218" s="5"/>
      <c r="E218" s="7"/>
    </row>
    <row r="219">
      <c r="A219" s="7"/>
      <c r="B219" s="7"/>
      <c r="C219" s="3" t="s">
        <v>339</v>
      </c>
      <c r="D219" s="5"/>
      <c r="E219" s="7"/>
    </row>
    <row r="220">
      <c r="A220" s="7"/>
      <c r="B220" s="7"/>
      <c r="C220" s="3" t="s">
        <v>340</v>
      </c>
      <c r="D220" s="5"/>
      <c r="E220" s="7"/>
    </row>
    <row r="221">
      <c r="A221" s="7"/>
      <c r="B221" s="7"/>
      <c r="C221" s="3" t="s">
        <v>341</v>
      </c>
      <c r="D221" s="5"/>
      <c r="E221" s="7"/>
    </row>
    <row r="222">
      <c r="A222" s="7"/>
      <c r="B222" s="7"/>
      <c r="C222" s="3" t="s">
        <v>342</v>
      </c>
      <c r="D222" s="5"/>
      <c r="E222" s="7"/>
    </row>
    <row r="223">
      <c r="A223" s="7"/>
      <c r="B223" s="7"/>
      <c r="C223" s="3" t="s">
        <v>343</v>
      </c>
      <c r="D223" s="5"/>
      <c r="E223" s="7"/>
    </row>
    <row r="224">
      <c r="A224" s="7"/>
      <c r="B224" s="7"/>
      <c r="C224" s="3" t="s">
        <v>344</v>
      </c>
      <c r="D224" s="5"/>
      <c r="E224" s="7"/>
    </row>
    <row r="225">
      <c r="A225" s="7"/>
      <c r="B225" s="7"/>
      <c r="C225" s="3" t="s">
        <v>345</v>
      </c>
      <c r="D225" s="5"/>
      <c r="E225" s="7"/>
    </row>
    <row r="226">
      <c r="A226" s="7"/>
      <c r="B226" s="7"/>
      <c r="C226" s="3" t="s">
        <v>346</v>
      </c>
      <c r="D226" s="5"/>
      <c r="E226" s="7"/>
    </row>
    <row r="227">
      <c r="A227" s="7"/>
      <c r="B227" s="7"/>
      <c r="C227" s="3" t="s">
        <v>347</v>
      </c>
      <c r="D227" s="5"/>
      <c r="E227" s="7"/>
    </row>
    <row r="228">
      <c r="A228" s="7"/>
      <c r="B228" s="7"/>
      <c r="C228" s="3" t="s">
        <v>348</v>
      </c>
      <c r="D228" s="5"/>
      <c r="E228" s="7"/>
    </row>
    <row r="229">
      <c r="A229" s="7"/>
      <c r="B229" s="7"/>
      <c r="C229" s="3"/>
      <c r="D229" s="5"/>
      <c r="E229" s="7"/>
    </row>
    <row r="230">
      <c r="A230" s="7"/>
      <c r="B230" s="7"/>
      <c r="C230" s="3"/>
      <c r="D230" s="5"/>
      <c r="E230" s="7"/>
    </row>
    <row r="231">
      <c r="A231" s="7"/>
      <c r="B231" s="7"/>
      <c r="C231" s="3"/>
      <c r="D231" s="5"/>
      <c r="E231" s="7"/>
    </row>
    <row r="232">
      <c r="A232" s="7"/>
      <c r="B232" s="7"/>
      <c r="C232" s="3"/>
      <c r="D232" s="5"/>
      <c r="E232" s="7"/>
    </row>
    <row r="233">
      <c r="A233" s="7"/>
      <c r="B233" s="7"/>
      <c r="C233" s="3"/>
      <c r="D233" s="5"/>
      <c r="E233" s="7"/>
    </row>
    <row r="234">
      <c r="A234" s="7"/>
      <c r="B234" s="7"/>
      <c r="C234" s="7"/>
      <c r="D234" s="5"/>
      <c r="E234" s="7"/>
    </row>
    <row r="235">
      <c r="A235" s="7"/>
      <c r="B235" s="7"/>
      <c r="C235" s="7"/>
      <c r="D235" s="5"/>
      <c r="E235" s="7"/>
    </row>
    <row r="236">
      <c r="A236" s="7"/>
      <c r="B236" s="7"/>
      <c r="C236" s="7"/>
      <c r="D236" s="5"/>
      <c r="E236" s="7"/>
    </row>
    <row r="237">
      <c r="A237" s="7"/>
      <c r="B237" s="7"/>
      <c r="C237" s="7"/>
      <c r="D237" s="5"/>
      <c r="E237" s="7"/>
    </row>
    <row r="238">
      <c r="A238" s="7"/>
      <c r="B238" s="7"/>
      <c r="C238" s="7"/>
      <c r="D238" s="5"/>
      <c r="E238" s="7"/>
    </row>
    <row r="239">
      <c r="A239" s="7"/>
      <c r="B239" s="7"/>
      <c r="C239" s="7"/>
      <c r="D239" s="5"/>
      <c r="E239" s="7"/>
    </row>
    <row r="240">
      <c r="A240" s="7"/>
      <c r="B240" s="7"/>
      <c r="C240" s="7"/>
      <c r="D240" s="5"/>
      <c r="E240" s="7"/>
    </row>
    <row r="241">
      <c r="A241" s="7"/>
      <c r="B241" s="7"/>
      <c r="C241" s="7"/>
      <c r="D241" s="5"/>
      <c r="E241" s="7"/>
    </row>
    <row r="242">
      <c r="A242" s="7"/>
      <c r="B242" s="7"/>
      <c r="C242" s="7"/>
      <c r="D242" s="5"/>
      <c r="E242" s="7"/>
    </row>
    <row r="243">
      <c r="A243" s="7"/>
      <c r="B243" s="7"/>
      <c r="C243" s="7"/>
      <c r="D243" s="5"/>
      <c r="E243" s="7"/>
    </row>
    <row r="244">
      <c r="A244" s="7"/>
      <c r="B244" s="7"/>
      <c r="C244" s="7"/>
      <c r="D244" s="5"/>
      <c r="E244" s="7"/>
    </row>
    <row r="245">
      <c r="A245" s="7"/>
      <c r="B245" s="7"/>
      <c r="C245" s="7"/>
      <c r="D245" s="5"/>
      <c r="E245" s="7"/>
    </row>
    <row r="246">
      <c r="A246" s="7"/>
      <c r="B246" s="7"/>
      <c r="C246" s="7"/>
      <c r="D246" s="5"/>
      <c r="E246" s="7"/>
    </row>
    <row r="247">
      <c r="A247" s="7"/>
      <c r="B247" s="7"/>
      <c r="C247" s="7"/>
      <c r="D247" s="5"/>
      <c r="E247" s="7"/>
    </row>
    <row r="248">
      <c r="A248" s="7"/>
      <c r="B248" s="7"/>
      <c r="C248" s="7"/>
      <c r="D248" s="5"/>
      <c r="E248" s="7"/>
    </row>
    <row r="249">
      <c r="A249" s="7"/>
      <c r="B249" s="7"/>
      <c r="C249" s="7"/>
      <c r="D249" s="5"/>
      <c r="E249" s="7"/>
    </row>
    <row r="250">
      <c r="A250" s="7"/>
      <c r="B250" s="7"/>
      <c r="C250" s="7"/>
      <c r="D250" s="5"/>
      <c r="E250" s="7"/>
    </row>
    <row r="251">
      <c r="A251" s="7"/>
      <c r="B251" s="7"/>
      <c r="C251" s="7"/>
      <c r="D251" s="5"/>
      <c r="E251" s="7"/>
    </row>
    <row r="252">
      <c r="A252" s="7"/>
      <c r="B252" s="7"/>
      <c r="C252" s="7"/>
      <c r="D252" s="5"/>
      <c r="E252" s="7"/>
    </row>
    <row r="253">
      <c r="A253" s="7"/>
      <c r="B253" s="7"/>
      <c r="C253" s="7"/>
      <c r="D253" s="5"/>
      <c r="E253" s="7"/>
    </row>
    <row r="254">
      <c r="A254" s="7"/>
      <c r="B254" s="7"/>
      <c r="C254" s="7"/>
      <c r="D254" s="5"/>
      <c r="E254" s="7"/>
    </row>
    <row r="255">
      <c r="A255" s="7"/>
      <c r="B255" s="7"/>
      <c r="C255" s="7"/>
      <c r="D255" s="5"/>
      <c r="E255" s="7"/>
    </row>
    <row r="256">
      <c r="A256" s="7"/>
      <c r="B256" s="7"/>
      <c r="C256" s="7"/>
      <c r="D256" s="5"/>
      <c r="E256" s="7"/>
    </row>
    <row r="257">
      <c r="A257" s="7"/>
      <c r="B257" s="7"/>
      <c r="C257" s="7"/>
      <c r="D257" s="5"/>
      <c r="E257" s="7"/>
    </row>
    <row r="258">
      <c r="A258" s="7"/>
      <c r="B258" s="7"/>
      <c r="C258" s="7"/>
      <c r="D258" s="5"/>
      <c r="E258" s="7"/>
    </row>
    <row r="259">
      <c r="A259" s="7"/>
      <c r="B259" s="7"/>
      <c r="C259" s="7"/>
      <c r="D259" s="5"/>
      <c r="E259" s="7"/>
    </row>
    <row r="260">
      <c r="A260" s="7"/>
      <c r="B260" s="7"/>
      <c r="C260" s="7"/>
      <c r="D260" s="5"/>
      <c r="E260" s="7"/>
    </row>
    <row r="261">
      <c r="A261" s="7"/>
      <c r="B261" s="7"/>
      <c r="C261" s="7"/>
      <c r="D261" s="5"/>
      <c r="E261" s="7"/>
    </row>
    <row r="262">
      <c r="A262" s="7"/>
      <c r="B262" s="7"/>
      <c r="C262" s="7"/>
      <c r="D262" s="5"/>
      <c r="E262" s="7"/>
    </row>
    <row r="263">
      <c r="A263" s="7"/>
      <c r="B263" s="7"/>
      <c r="C263" s="7"/>
      <c r="D263" s="5"/>
      <c r="E263" s="7"/>
    </row>
    <row r="264">
      <c r="A264" s="7"/>
      <c r="B264" s="7"/>
      <c r="C264" s="7"/>
      <c r="D264" s="5"/>
      <c r="E264" s="7"/>
    </row>
    <row r="265">
      <c r="A265" s="7"/>
      <c r="B265" s="7"/>
      <c r="C265" s="7"/>
      <c r="D265" s="5"/>
      <c r="E265" s="7"/>
    </row>
    <row r="266">
      <c r="A266" s="7"/>
      <c r="B266" s="7"/>
      <c r="C266" s="7"/>
      <c r="D266" s="5"/>
      <c r="E266" s="7"/>
    </row>
    <row r="267">
      <c r="A267" s="7"/>
      <c r="B267" s="7"/>
      <c r="C267" s="7"/>
      <c r="D267" s="5"/>
      <c r="E267" s="7"/>
    </row>
    <row r="268">
      <c r="A268" s="7"/>
      <c r="B268" s="7"/>
      <c r="C268" s="7"/>
      <c r="D268" s="5"/>
      <c r="E268" s="7"/>
    </row>
    <row r="269">
      <c r="A269" s="7"/>
      <c r="B269" s="7"/>
      <c r="C269" s="7"/>
      <c r="D269" s="5"/>
      <c r="E269" s="7"/>
    </row>
    <row r="270">
      <c r="A270" s="7"/>
      <c r="B270" s="7"/>
      <c r="C270" s="7"/>
      <c r="D270" s="5"/>
      <c r="E270" s="7"/>
    </row>
    <row r="271">
      <c r="A271" s="7"/>
      <c r="B271" s="7"/>
      <c r="C271" s="7"/>
      <c r="D271" s="5"/>
      <c r="E271" s="7"/>
    </row>
    <row r="272">
      <c r="A272" s="7"/>
      <c r="B272" s="7"/>
      <c r="C272" s="7"/>
      <c r="D272" s="5"/>
      <c r="E272" s="7"/>
    </row>
    <row r="273">
      <c r="A273" s="7"/>
      <c r="B273" s="7"/>
      <c r="C273" s="7"/>
      <c r="D273" s="5"/>
      <c r="E273" s="7"/>
    </row>
    <row r="274">
      <c r="A274" s="7"/>
      <c r="B274" s="7"/>
      <c r="C274" s="7"/>
      <c r="D274" s="5"/>
      <c r="E274" s="7"/>
    </row>
    <row r="275">
      <c r="A275" s="7"/>
      <c r="B275" s="7"/>
      <c r="C275" s="7"/>
      <c r="D275" s="5"/>
      <c r="E275" s="7"/>
    </row>
    <row r="276">
      <c r="A276" s="7"/>
      <c r="B276" s="7"/>
      <c r="C276" s="7"/>
      <c r="D276" s="5"/>
      <c r="E276" s="7"/>
    </row>
    <row r="277">
      <c r="A277" s="7"/>
      <c r="B277" s="7"/>
      <c r="C277" s="7"/>
      <c r="D277" s="5"/>
      <c r="E277" s="7"/>
    </row>
    <row r="278">
      <c r="A278" s="7"/>
      <c r="B278" s="7"/>
      <c r="C278" s="7"/>
      <c r="D278" s="5"/>
      <c r="E278" s="7"/>
    </row>
    <row r="279">
      <c r="A279" s="7"/>
      <c r="B279" s="7"/>
      <c r="C279" s="7"/>
      <c r="D279" s="5"/>
      <c r="E279" s="7"/>
    </row>
    <row r="280">
      <c r="A280" s="7"/>
      <c r="B280" s="7"/>
      <c r="C280" s="7"/>
      <c r="D280" s="5"/>
      <c r="E280" s="7"/>
    </row>
    <row r="281">
      <c r="A281" s="7"/>
      <c r="B281" s="7"/>
      <c r="C281" s="7"/>
      <c r="D281" s="5"/>
      <c r="E281" s="7"/>
    </row>
    <row r="282">
      <c r="A282" s="7"/>
      <c r="B282" s="7"/>
      <c r="C282" s="7"/>
      <c r="D282" s="5"/>
      <c r="E282" s="7"/>
    </row>
    <row r="283">
      <c r="A283" s="7"/>
      <c r="B283" s="7"/>
      <c r="C283" s="7"/>
      <c r="D283" s="5"/>
      <c r="E283" s="7"/>
    </row>
    <row r="284">
      <c r="A284" s="7"/>
      <c r="B284" s="7"/>
      <c r="C284" s="7"/>
      <c r="D284" s="5"/>
      <c r="E284" s="7"/>
    </row>
    <row r="285">
      <c r="A285" s="7"/>
      <c r="B285" s="7"/>
      <c r="C285" s="7"/>
      <c r="D285" s="5"/>
      <c r="E285" s="7"/>
    </row>
    <row r="286">
      <c r="A286" s="7"/>
      <c r="B286" s="7"/>
      <c r="C286" s="7"/>
      <c r="D286" s="5"/>
      <c r="E286" s="7"/>
    </row>
    <row r="287">
      <c r="A287" s="7"/>
      <c r="B287" s="7"/>
      <c r="C287" s="7"/>
      <c r="D287" s="5"/>
      <c r="E287" s="7"/>
    </row>
    <row r="288">
      <c r="A288" s="7"/>
      <c r="B288" s="7"/>
      <c r="C288" s="7"/>
      <c r="D288" s="5"/>
      <c r="E288" s="7"/>
    </row>
    <row r="289">
      <c r="A289" s="7"/>
      <c r="B289" s="7"/>
      <c r="C289" s="7"/>
      <c r="D289" s="5"/>
      <c r="E289" s="7"/>
    </row>
    <row r="290">
      <c r="A290" s="7"/>
      <c r="B290" s="7"/>
      <c r="C290" s="7"/>
      <c r="D290" s="5"/>
      <c r="E290" s="7"/>
    </row>
    <row r="291">
      <c r="A291" s="7"/>
      <c r="B291" s="7"/>
      <c r="C291" s="7"/>
      <c r="D291" s="5"/>
      <c r="E291" s="7"/>
    </row>
    <row r="292">
      <c r="A292" s="7"/>
      <c r="B292" s="7"/>
      <c r="C292" s="7"/>
      <c r="D292" s="5"/>
      <c r="E292" s="7"/>
    </row>
    <row r="293">
      <c r="A293" s="7"/>
      <c r="B293" s="7"/>
      <c r="C293" s="7"/>
      <c r="D293" s="5"/>
      <c r="E293" s="7"/>
    </row>
    <row r="294">
      <c r="A294" s="7"/>
      <c r="B294" s="7"/>
      <c r="C294" s="7"/>
      <c r="D294" s="5"/>
      <c r="E294" s="7"/>
    </row>
    <row r="295">
      <c r="A295" s="7"/>
      <c r="B295" s="7"/>
      <c r="C295" s="7"/>
      <c r="D295" s="5"/>
      <c r="E295" s="7"/>
    </row>
    <row r="296">
      <c r="A296" s="7"/>
      <c r="B296" s="7"/>
      <c r="C296" s="7"/>
      <c r="D296" s="5"/>
      <c r="E296" s="7"/>
    </row>
    <row r="297">
      <c r="A297" s="7"/>
      <c r="B297" s="7"/>
      <c r="C297" s="7"/>
      <c r="D297" s="5"/>
      <c r="E297" s="7"/>
    </row>
    <row r="298">
      <c r="A298" s="7"/>
      <c r="B298" s="7"/>
      <c r="C298" s="7"/>
      <c r="D298" s="5"/>
      <c r="E298" s="7"/>
    </row>
    <row r="299">
      <c r="A299" s="7"/>
      <c r="B299" s="7"/>
      <c r="C299" s="7"/>
      <c r="D299" s="5"/>
      <c r="E299" s="7"/>
    </row>
    <row r="300">
      <c r="A300" s="7"/>
      <c r="B300" s="7"/>
      <c r="C300" s="7"/>
      <c r="D300" s="5"/>
      <c r="E300" s="7"/>
    </row>
    <row r="301">
      <c r="A301" s="7"/>
      <c r="B301" s="7"/>
      <c r="C301" s="7"/>
      <c r="D301" s="5"/>
      <c r="E301" s="7"/>
    </row>
    <row r="302">
      <c r="A302" s="7"/>
      <c r="B302" s="7"/>
      <c r="C302" s="7"/>
      <c r="D302" s="5"/>
      <c r="E302" s="7"/>
    </row>
    <row r="303">
      <c r="A303" s="7"/>
      <c r="B303" s="7"/>
      <c r="C303" s="7"/>
      <c r="D303" s="5"/>
      <c r="E303" s="7"/>
    </row>
    <row r="304">
      <c r="A304" s="7"/>
      <c r="B304" s="7"/>
      <c r="C304" s="7"/>
      <c r="D304" s="5"/>
      <c r="E304" s="7"/>
    </row>
    <row r="305">
      <c r="A305" s="7"/>
      <c r="B305" s="7"/>
      <c r="C305" s="7"/>
      <c r="D305" s="5"/>
      <c r="E305" s="7"/>
    </row>
    <row r="306">
      <c r="A306" s="7"/>
      <c r="B306" s="7"/>
      <c r="C306" s="7"/>
      <c r="D306" s="5"/>
      <c r="E306" s="7"/>
    </row>
    <row r="307">
      <c r="A307" s="7"/>
      <c r="B307" s="7"/>
      <c r="C307" s="7"/>
      <c r="D307" s="5"/>
      <c r="E307" s="7"/>
    </row>
    <row r="308">
      <c r="A308" s="7"/>
      <c r="B308" s="7"/>
      <c r="C308" s="7"/>
      <c r="D308" s="5"/>
      <c r="E308" s="7"/>
    </row>
    <row r="309">
      <c r="A309" s="7"/>
      <c r="B309" s="7"/>
      <c r="C309" s="7"/>
      <c r="D309" s="5"/>
      <c r="E309" s="7"/>
    </row>
    <row r="310">
      <c r="A310" s="7"/>
      <c r="B310" s="7"/>
      <c r="C310" s="7"/>
      <c r="D310" s="5"/>
      <c r="E310" s="7"/>
    </row>
    <row r="311">
      <c r="A311" s="7"/>
      <c r="B311" s="7"/>
      <c r="C311" s="7"/>
      <c r="D311" s="5"/>
      <c r="E311" s="7"/>
    </row>
    <row r="312">
      <c r="A312" s="7"/>
      <c r="B312" s="7"/>
      <c r="C312" s="7"/>
      <c r="D312" s="5"/>
      <c r="E312" s="7"/>
    </row>
    <row r="313">
      <c r="A313" s="7"/>
      <c r="B313" s="7"/>
      <c r="C313" s="7"/>
      <c r="D313" s="5"/>
      <c r="E313" s="7"/>
    </row>
    <row r="314">
      <c r="A314" s="7"/>
      <c r="B314" s="7"/>
      <c r="C314" s="7"/>
      <c r="D314" s="5"/>
      <c r="E314" s="7"/>
    </row>
    <row r="315">
      <c r="A315" s="7"/>
      <c r="B315" s="7"/>
      <c r="C315" s="7"/>
      <c r="D315" s="5"/>
      <c r="E315" s="7"/>
    </row>
    <row r="316">
      <c r="A316" s="7"/>
      <c r="B316" s="7"/>
      <c r="C316" s="7"/>
      <c r="D316" s="5"/>
      <c r="E316" s="7"/>
    </row>
    <row r="317">
      <c r="A317" s="7"/>
      <c r="B317" s="7"/>
      <c r="C317" s="7"/>
      <c r="D317" s="5"/>
      <c r="E317" s="7"/>
    </row>
    <row r="318">
      <c r="A318" s="7"/>
      <c r="B318" s="7"/>
      <c r="C318" s="7"/>
      <c r="D318" s="5"/>
      <c r="E318" s="7"/>
    </row>
    <row r="319">
      <c r="A319" s="7"/>
      <c r="B319" s="7"/>
      <c r="C319" s="7"/>
      <c r="D319" s="5"/>
      <c r="E319" s="7"/>
    </row>
    <row r="320">
      <c r="A320" s="7"/>
      <c r="B320" s="7"/>
      <c r="C320" s="7"/>
      <c r="D320" s="5"/>
      <c r="E320" s="7"/>
    </row>
    <row r="321">
      <c r="A321" s="7"/>
      <c r="B321" s="7"/>
      <c r="C321" s="7"/>
      <c r="D321" s="5"/>
      <c r="E321" s="7"/>
    </row>
    <row r="322">
      <c r="A322" s="7"/>
      <c r="B322" s="7"/>
      <c r="C322" s="7"/>
      <c r="D322" s="5"/>
      <c r="E322" s="7"/>
    </row>
    <row r="323">
      <c r="A323" s="7"/>
      <c r="B323" s="7"/>
      <c r="C323" s="7"/>
      <c r="D323" s="5"/>
      <c r="E323" s="7"/>
    </row>
    <row r="324">
      <c r="A324" s="7"/>
      <c r="B324" s="7"/>
      <c r="C324" s="7"/>
      <c r="D324" s="5"/>
      <c r="E324" s="7"/>
    </row>
    <row r="325">
      <c r="A325" s="7"/>
      <c r="B325" s="7"/>
      <c r="C325" s="7"/>
      <c r="D325" s="5"/>
      <c r="E325" s="7"/>
    </row>
    <row r="326">
      <c r="A326" s="7"/>
      <c r="B326" s="7"/>
      <c r="C326" s="7"/>
      <c r="D326" s="5"/>
      <c r="E326" s="7"/>
    </row>
    <row r="327">
      <c r="A327" s="7"/>
      <c r="B327" s="7"/>
      <c r="C327" s="7"/>
      <c r="D327" s="5"/>
      <c r="E327" s="7"/>
    </row>
    <row r="328">
      <c r="A328" s="7"/>
      <c r="B328" s="7"/>
      <c r="C328" s="7"/>
      <c r="D328" s="5"/>
      <c r="E328" s="7"/>
    </row>
    <row r="329">
      <c r="A329" s="7"/>
      <c r="B329" s="7"/>
      <c r="C329" s="7"/>
      <c r="D329" s="5"/>
      <c r="E329" s="7"/>
    </row>
    <row r="330">
      <c r="A330" s="7"/>
      <c r="B330" s="7"/>
      <c r="C330" s="7"/>
      <c r="D330" s="5"/>
      <c r="E330" s="7"/>
    </row>
    <row r="331">
      <c r="A331" s="7"/>
      <c r="B331" s="7"/>
      <c r="C331" s="7"/>
      <c r="D331" s="5"/>
      <c r="E331" s="7"/>
    </row>
    <row r="332">
      <c r="A332" s="7"/>
      <c r="B332" s="7"/>
      <c r="C332" s="7"/>
      <c r="D332" s="5"/>
      <c r="E332" s="7"/>
    </row>
    <row r="333">
      <c r="A333" s="7"/>
      <c r="B333" s="7"/>
      <c r="C333" s="7"/>
      <c r="D333" s="5"/>
      <c r="E333" s="7"/>
    </row>
    <row r="334">
      <c r="A334" s="7"/>
      <c r="B334" s="7"/>
      <c r="C334" s="7"/>
      <c r="D334" s="5"/>
      <c r="E334" s="7"/>
    </row>
    <row r="335">
      <c r="A335" s="7"/>
      <c r="B335" s="7"/>
      <c r="C335" s="7"/>
      <c r="D335" s="5"/>
      <c r="E335" s="7"/>
    </row>
    <row r="336">
      <c r="A336" s="7"/>
      <c r="B336" s="7"/>
      <c r="C336" s="7"/>
      <c r="D336" s="5"/>
      <c r="E336" s="7"/>
    </row>
    <row r="337">
      <c r="A337" s="7"/>
      <c r="B337" s="7"/>
      <c r="C337" s="7"/>
      <c r="D337" s="5"/>
      <c r="E337" s="7"/>
    </row>
    <row r="338">
      <c r="A338" s="7"/>
      <c r="B338" s="7"/>
      <c r="C338" s="7"/>
      <c r="D338" s="5"/>
      <c r="E338" s="7"/>
    </row>
    <row r="339">
      <c r="A339" s="7"/>
      <c r="B339" s="7"/>
      <c r="C339" s="7"/>
      <c r="D339" s="5"/>
      <c r="E339" s="7"/>
    </row>
    <row r="340">
      <c r="A340" s="7"/>
      <c r="B340" s="7"/>
      <c r="C340" s="7"/>
      <c r="D340" s="5"/>
      <c r="E340" s="7"/>
    </row>
    <row r="341">
      <c r="A341" s="7"/>
      <c r="B341" s="7"/>
      <c r="C341" s="7"/>
      <c r="D341" s="5"/>
      <c r="E341" s="7"/>
    </row>
    <row r="342">
      <c r="A342" s="7"/>
      <c r="B342" s="7"/>
      <c r="C342" s="7"/>
      <c r="D342" s="5"/>
      <c r="E342" s="7"/>
    </row>
    <row r="343">
      <c r="A343" s="7"/>
      <c r="B343" s="7"/>
      <c r="C343" s="7"/>
      <c r="D343" s="5"/>
      <c r="E343" s="7"/>
    </row>
    <row r="344">
      <c r="A344" s="7"/>
      <c r="B344" s="7"/>
      <c r="C344" s="7"/>
      <c r="D344" s="5"/>
      <c r="E344" s="7"/>
    </row>
    <row r="345">
      <c r="A345" s="7"/>
      <c r="B345" s="7"/>
      <c r="C345" s="7"/>
      <c r="D345" s="5"/>
      <c r="E345" s="7"/>
    </row>
    <row r="346">
      <c r="A346" s="7"/>
      <c r="B346" s="7"/>
      <c r="C346" s="7"/>
      <c r="D346" s="5"/>
      <c r="E346" s="7"/>
    </row>
    <row r="347">
      <c r="A347" s="7"/>
      <c r="B347" s="7"/>
      <c r="C347" s="7"/>
      <c r="D347" s="5"/>
      <c r="E347" s="7"/>
    </row>
    <row r="348">
      <c r="A348" s="7"/>
      <c r="B348" s="7"/>
      <c r="C348" s="7"/>
      <c r="D348" s="5"/>
      <c r="E348" s="7"/>
    </row>
    <row r="349">
      <c r="A349" s="7"/>
      <c r="B349" s="7"/>
      <c r="C349" s="7"/>
      <c r="D349" s="5"/>
      <c r="E349" s="7"/>
    </row>
    <row r="350">
      <c r="A350" s="7"/>
      <c r="B350" s="7"/>
      <c r="C350" s="7"/>
      <c r="D350" s="5"/>
      <c r="E350" s="7"/>
    </row>
    <row r="351">
      <c r="A351" s="7"/>
      <c r="B351" s="7"/>
      <c r="C351" s="7"/>
      <c r="D351" s="5"/>
      <c r="E351" s="7"/>
    </row>
    <row r="352">
      <c r="A352" s="7"/>
      <c r="B352" s="7"/>
      <c r="C352" s="7"/>
      <c r="D352" s="5"/>
      <c r="E352" s="7"/>
    </row>
    <row r="353">
      <c r="A353" s="7"/>
      <c r="B353" s="7"/>
      <c r="C353" s="7"/>
      <c r="D353" s="5"/>
      <c r="E353" s="7"/>
    </row>
    <row r="354">
      <c r="A354" s="7"/>
      <c r="B354" s="7"/>
      <c r="C354" s="7"/>
      <c r="D354" s="5"/>
      <c r="E354" s="7"/>
    </row>
    <row r="355">
      <c r="A355" s="7"/>
      <c r="B355" s="7"/>
      <c r="C355" s="7"/>
      <c r="D355" s="5"/>
      <c r="E355" s="7"/>
    </row>
    <row r="356">
      <c r="A356" s="7"/>
      <c r="B356" s="7"/>
      <c r="C356" s="7"/>
      <c r="D356" s="5"/>
      <c r="E356" s="7"/>
    </row>
    <row r="357">
      <c r="A357" s="7"/>
      <c r="B357" s="7"/>
      <c r="C357" s="7"/>
      <c r="D357" s="5"/>
      <c r="E357" s="7"/>
    </row>
    <row r="358">
      <c r="A358" s="7"/>
      <c r="B358" s="7"/>
      <c r="C358" s="7"/>
      <c r="D358" s="5"/>
      <c r="E358" s="7"/>
    </row>
    <row r="359">
      <c r="A359" s="7"/>
      <c r="B359" s="7"/>
      <c r="C359" s="7"/>
      <c r="D359" s="5"/>
      <c r="E359" s="7"/>
    </row>
    <row r="360">
      <c r="A360" s="7"/>
      <c r="B360" s="7"/>
      <c r="C360" s="7"/>
      <c r="D360" s="5"/>
      <c r="E360" s="7"/>
    </row>
    <row r="361">
      <c r="A361" s="7"/>
      <c r="B361" s="7"/>
      <c r="C361" s="7"/>
      <c r="D361" s="5"/>
      <c r="E361" s="7"/>
    </row>
    <row r="362">
      <c r="A362" s="7"/>
      <c r="B362" s="7"/>
      <c r="C362" s="7"/>
      <c r="D362" s="5"/>
      <c r="E362" s="7"/>
    </row>
    <row r="363">
      <c r="A363" s="7"/>
      <c r="B363" s="7"/>
      <c r="C363" s="7"/>
      <c r="D363" s="5"/>
      <c r="E363" s="7"/>
    </row>
    <row r="364">
      <c r="A364" s="7"/>
      <c r="B364" s="7"/>
      <c r="C364" s="7"/>
      <c r="D364" s="5"/>
      <c r="E364" s="7"/>
    </row>
    <row r="365">
      <c r="A365" s="7"/>
      <c r="B365" s="7"/>
      <c r="C365" s="7"/>
      <c r="D365" s="5"/>
      <c r="E365" s="7"/>
    </row>
    <row r="366">
      <c r="A366" s="7"/>
      <c r="B366" s="7"/>
      <c r="C366" s="7"/>
      <c r="D366" s="5"/>
      <c r="E366" s="7"/>
    </row>
    <row r="367">
      <c r="A367" s="7"/>
      <c r="B367" s="7"/>
      <c r="C367" s="7"/>
      <c r="D367" s="5"/>
      <c r="E367" s="7"/>
    </row>
    <row r="368">
      <c r="A368" s="7"/>
      <c r="B368" s="7"/>
      <c r="C368" s="7"/>
      <c r="D368" s="5"/>
      <c r="E368" s="7"/>
    </row>
    <row r="369">
      <c r="A369" s="7"/>
      <c r="B369" s="7"/>
      <c r="C369" s="7"/>
      <c r="D369" s="5"/>
      <c r="E369" s="7"/>
    </row>
    <row r="370">
      <c r="A370" s="7"/>
      <c r="B370" s="7"/>
      <c r="C370" s="7"/>
      <c r="D370" s="5"/>
      <c r="E370" s="7"/>
    </row>
    <row r="371">
      <c r="A371" s="7"/>
      <c r="B371" s="7"/>
      <c r="C371" s="7"/>
      <c r="D371" s="5"/>
      <c r="E371" s="7"/>
    </row>
    <row r="372">
      <c r="A372" s="7"/>
      <c r="B372" s="7"/>
      <c r="C372" s="7"/>
      <c r="D372" s="5"/>
      <c r="E372" s="7"/>
    </row>
    <row r="373">
      <c r="A373" s="7"/>
      <c r="B373" s="7"/>
      <c r="C373" s="7"/>
      <c r="D373" s="5"/>
      <c r="E373" s="7"/>
    </row>
    <row r="374">
      <c r="A374" s="7"/>
      <c r="B374" s="7"/>
      <c r="C374" s="7"/>
      <c r="D374" s="5"/>
      <c r="E374" s="7"/>
    </row>
    <row r="375">
      <c r="A375" s="7"/>
      <c r="B375" s="7"/>
      <c r="C375" s="7"/>
      <c r="D375" s="5"/>
      <c r="E375" s="7"/>
    </row>
    <row r="376">
      <c r="A376" s="7"/>
      <c r="B376" s="7"/>
      <c r="C376" s="7"/>
      <c r="D376" s="5"/>
      <c r="E376" s="7"/>
    </row>
    <row r="377">
      <c r="A377" s="7"/>
      <c r="B377" s="7"/>
      <c r="C377" s="7"/>
      <c r="D377" s="5"/>
      <c r="E377" s="7"/>
    </row>
    <row r="378">
      <c r="A378" s="7"/>
      <c r="B378" s="7"/>
      <c r="C378" s="7"/>
      <c r="D378" s="5"/>
      <c r="E378" s="7"/>
    </row>
    <row r="379">
      <c r="A379" s="7"/>
      <c r="B379" s="7"/>
      <c r="C379" s="7"/>
      <c r="D379" s="5"/>
      <c r="E379" s="7"/>
    </row>
    <row r="380">
      <c r="A380" s="7"/>
      <c r="B380" s="7"/>
      <c r="C380" s="7"/>
      <c r="D380" s="5"/>
      <c r="E380" s="7"/>
    </row>
    <row r="381">
      <c r="A381" s="7"/>
      <c r="B381" s="7"/>
      <c r="C381" s="7"/>
      <c r="D381" s="5"/>
      <c r="E381" s="7"/>
    </row>
    <row r="382">
      <c r="A382" s="7"/>
      <c r="B382" s="7"/>
      <c r="C382" s="7"/>
      <c r="D382" s="5"/>
      <c r="E382" s="7"/>
    </row>
    <row r="383">
      <c r="A383" s="7"/>
      <c r="B383" s="7"/>
      <c r="C383" s="7"/>
      <c r="D383" s="5"/>
      <c r="E383" s="7"/>
    </row>
    <row r="384">
      <c r="A384" s="7"/>
      <c r="B384" s="7"/>
      <c r="C384" s="7"/>
      <c r="D384" s="5"/>
      <c r="E384" s="7"/>
    </row>
    <row r="385">
      <c r="A385" s="7"/>
      <c r="B385" s="7"/>
      <c r="C385" s="7"/>
      <c r="D385" s="5"/>
      <c r="E385" s="7"/>
    </row>
    <row r="386">
      <c r="A386" s="7"/>
      <c r="B386" s="7"/>
      <c r="C386" s="7"/>
      <c r="D386" s="5"/>
      <c r="E386" s="7"/>
    </row>
    <row r="387">
      <c r="A387" s="7"/>
      <c r="B387" s="7"/>
      <c r="C387" s="7"/>
      <c r="D387" s="5"/>
      <c r="E387" s="7"/>
    </row>
    <row r="388">
      <c r="A388" s="7"/>
      <c r="B388" s="7"/>
      <c r="C388" s="7"/>
      <c r="D388" s="5"/>
      <c r="E388" s="7"/>
    </row>
    <row r="389">
      <c r="A389" s="7"/>
      <c r="B389" s="7"/>
      <c r="C389" s="7"/>
      <c r="D389" s="5"/>
      <c r="E389" s="7"/>
    </row>
    <row r="390">
      <c r="A390" s="7"/>
      <c r="B390" s="7"/>
      <c r="C390" s="7"/>
      <c r="D390" s="5"/>
      <c r="E390" s="7"/>
    </row>
    <row r="391">
      <c r="A391" s="7"/>
      <c r="B391" s="7"/>
      <c r="C391" s="7"/>
      <c r="D391" s="5"/>
      <c r="E391" s="7"/>
    </row>
    <row r="392">
      <c r="A392" s="7"/>
      <c r="B392" s="7"/>
      <c r="C392" s="7"/>
      <c r="D392" s="5"/>
      <c r="E392" s="7"/>
    </row>
    <row r="393">
      <c r="A393" s="7"/>
      <c r="B393" s="7"/>
      <c r="C393" s="7"/>
      <c r="D393" s="5"/>
      <c r="E393" s="7"/>
    </row>
    <row r="394">
      <c r="A394" s="7"/>
      <c r="B394" s="7"/>
      <c r="C394" s="7"/>
      <c r="D394" s="5"/>
      <c r="E394" s="7"/>
    </row>
    <row r="395">
      <c r="A395" s="7"/>
      <c r="B395" s="7"/>
      <c r="C395" s="7"/>
      <c r="D395" s="5"/>
      <c r="E395" s="7"/>
    </row>
    <row r="396">
      <c r="A396" s="7"/>
      <c r="B396" s="7"/>
      <c r="C396" s="7"/>
      <c r="D396" s="5"/>
      <c r="E396" s="7"/>
    </row>
    <row r="397">
      <c r="A397" s="7"/>
      <c r="B397" s="7"/>
      <c r="C397" s="7"/>
      <c r="D397" s="5"/>
      <c r="E397" s="7"/>
    </row>
    <row r="398">
      <c r="A398" s="7"/>
      <c r="B398" s="7"/>
      <c r="C398" s="7"/>
      <c r="D398" s="5"/>
      <c r="E398" s="7"/>
    </row>
    <row r="399">
      <c r="A399" s="7"/>
      <c r="B399" s="7"/>
      <c r="C399" s="7"/>
      <c r="D399" s="5"/>
      <c r="E399" s="7"/>
    </row>
    <row r="400">
      <c r="A400" s="7"/>
      <c r="B400" s="7"/>
      <c r="C400" s="7"/>
      <c r="D400" s="5"/>
      <c r="E400" s="7"/>
    </row>
    <row r="401">
      <c r="A401" s="7"/>
      <c r="B401" s="7"/>
      <c r="C401" s="7"/>
      <c r="D401" s="5"/>
      <c r="E401" s="7"/>
    </row>
    <row r="402">
      <c r="A402" s="7"/>
      <c r="B402" s="7"/>
      <c r="C402" s="7"/>
      <c r="D402" s="5"/>
      <c r="E402" s="7"/>
    </row>
    <row r="403">
      <c r="A403" s="7"/>
      <c r="B403" s="7"/>
      <c r="C403" s="7"/>
      <c r="D403" s="5"/>
      <c r="E403" s="7"/>
    </row>
    <row r="404">
      <c r="A404" s="7"/>
      <c r="B404" s="7"/>
      <c r="C404" s="7"/>
      <c r="D404" s="5"/>
      <c r="E404" s="7"/>
    </row>
    <row r="405">
      <c r="A405" s="7"/>
      <c r="B405" s="7"/>
      <c r="C405" s="7"/>
      <c r="D405" s="5"/>
      <c r="E405" s="7"/>
    </row>
    <row r="406">
      <c r="A406" s="7"/>
      <c r="B406" s="7"/>
      <c r="C406" s="7"/>
      <c r="D406" s="5"/>
      <c r="E406" s="7"/>
    </row>
    <row r="407">
      <c r="A407" s="7"/>
      <c r="B407" s="7"/>
      <c r="C407" s="7"/>
      <c r="D407" s="5"/>
      <c r="E407" s="7"/>
    </row>
    <row r="408">
      <c r="A408" s="7"/>
      <c r="B408" s="7"/>
      <c r="C408" s="7"/>
      <c r="D408" s="5"/>
      <c r="E408" s="7"/>
    </row>
    <row r="409">
      <c r="A409" s="7"/>
      <c r="B409" s="7"/>
      <c r="C409" s="7"/>
      <c r="D409" s="5"/>
      <c r="E409" s="7"/>
    </row>
    <row r="410">
      <c r="A410" s="7"/>
      <c r="B410" s="7"/>
      <c r="C410" s="7"/>
      <c r="D410" s="5"/>
      <c r="E410" s="7"/>
    </row>
    <row r="411">
      <c r="A411" s="7"/>
      <c r="B411" s="7"/>
      <c r="C411" s="7"/>
      <c r="D411" s="5"/>
      <c r="E411" s="7"/>
    </row>
    <row r="412">
      <c r="A412" s="7"/>
      <c r="B412" s="7"/>
      <c r="C412" s="7"/>
      <c r="D412" s="5"/>
      <c r="E412" s="7"/>
    </row>
    <row r="413">
      <c r="A413" s="7"/>
      <c r="B413" s="7"/>
      <c r="C413" s="7"/>
      <c r="D413" s="5"/>
      <c r="E413" s="7"/>
    </row>
    <row r="414">
      <c r="A414" s="7"/>
      <c r="B414" s="7"/>
      <c r="C414" s="7"/>
      <c r="D414" s="5"/>
      <c r="E414" s="7"/>
    </row>
    <row r="415">
      <c r="A415" s="7"/>
      <c r="B415" s="7"/>
      <c r="C415" s="7"/>
      <c r="D415" s="5"/>
      <c r="E415" s="7"/>
    </row>
    <row r="416">
      <c r="A416" s="7"/>
      <c r="B416" s="7"/>
      <c r="C416" s="7"/>
      <c r="D416" s="5"/>
      <c r="E416" s="7"/>
    </row>
    <row r="417">
      <c r="A417" s="7"/>
      <c r="B417" s="7"/>
      <c r="C417" s="7"/>
      <c r="D417" s="5"/>
      <c r="E417" s="7"/>
    </row>
    <row r="418">
      <c r="A418" s="7"/>
      <c r="B418" s="7"/>
      <c r="C418" s="7"/>
      <c r="D418" s="5"/>
      <c r="E418" s="7"/>
    </row>
    <row r="419">
      <c r="A419" s="7"/>
      <c r="B419" s="7"/>
      <c r="C419" s="7"/>
      <c r="D419" s="5"/>
      <c r="E419" s="7"/>
    </row>
    <row r="420">
      <c r="A420" s="7"/>
      <c r="B420" s="7"/>
      <c r="C420" s="7"/>
      <c r="D420" s="5"/>
      <c r="E420" s="7"/>
    </row>
    <row r="421">
      <c r="A421" s="7"/>
      <c r="B421" s="7"/>
      <c r="C421" s="7"/>
      <c r="D421" s="5"/>
      <c r="E421" s="7"/>
    </row>
    <row r="422">
      <c r="A422" s="7"/>
      <c r="B422" s="7"/>
      <c r="C422" s="7"/>
      <c r="D422" s="5"/>
      <c r="E422" s="7"/>
    </row>
    <row r="423">
      <c r="A423" s="7"/>
      <c r="B423" s="7"/>
      <c r="C423" s="7"/>
      <c r="D423" s="5"/>
      <c r="E423" s="7"/>
    </row>
    <row r="424">
      <c r="A424" s="7"/>
      <c r="B424" s="7"/>
      <c r="C424" s="7"/>
      <c r="D424" s="5"/>
      <c r="E424" s="7"/>
    </row>
    <row r="425">
      <c r="A425" s="7"/>
      <c r="B425" s="7"/>
      <c r="C425" s="7"/>
      <c r="D425" s="5"/>
      <c r="E425" s="7"/>
    </row>
    <row r="426">
      <c r="A426" s="7"/>
      <c r="B426" s="7"/>
      <c r="C426" s="7"/>
      <c r="D426" s="5"/>
      <c r="E426" s="7"/>
    </row>
    <row r="427">
      <c r="A427" s="7"/>
      <c r="B427" s="7"/>
      <c r="C427" s="7"/>
      <c r="D427" s="5"/>
      <c r="E427" s="7"/>
    </row>
    <row r="428">
      <c r="A428" s="7"/>
      <c r="B428" s="7"/>
      <c r="C428" s="7"/>
      <c r="D428" s="5"/>
      <c r="E428" s="7"/>
    </row>
    <row r="429">
      <c r="A429" s="7"/>
      <c r="B429" s="7"/>
      <c r="C429" s="7"/>
      <c r="D429" s="5"/>
      <c r="E429" s="7"/>
    </row>
    <row r="430">
      <c r="A430" s="7"/>
      <c r="B430" s="7"/>
      <c r="C430" s="7"/>
      <c r="D430" s="5"/>
      <c r="E430" s="7"/>
    </row>
    <row r="431">
      <c r="A431" s="7"/>
      <c r="B431" s="7"/>
      <c r="C431" s="7"/>
      <c r="D431" s="5"/>
      <c r="E431" s="7"/>
    </row>
    <row r="432">
      <c r="A432" s="7"/>
      <c r="B432" s="7"/>
      <c r="C432" s="7"/>
      <c r="D432" s="5"/>
      <c r="E432" s="7"/>
    </row>
    <row r="433">
      <c r="A433" s="7"/>
      <c r="B433" s="7"/>
      <c r="C433" s="7"/>
      <c r="D433" s="5"/>
      <c r="E433" s="7"/>
    </row>
    <row r="434">
      <c r="A434" s="7"/>
      <c r="B434" s="7"/>
      <c r="C434" s="7"/>
      <c r="D434" s="5"/>
      <c r="E434" s="7"/>
    </row>
    <row r="435">
      <c r="A435" s="7"/>
      <c r="B435" s="7"/>
      <c r="C435" s="7"/>
      <c r="D435" s="5"/>
      <c r="E435" s="7"/>
    </row>
    <row r="436">
      <c r="A436" s="7"/>
      <c r="B436" s="7"/>
      <c r="C436" s="7"/>
      <c r="D436" s="5"/>
      <c r="E436" s="7"/>
    </row>
    <row r="437">
      <c r="A437" s="7"/>
      <c r="B437" s="7"/>
      <c r="C437" s="7"/>
      <c r="D437" s="5"/>
      <c r="E437" s="7"/>
    </row>
    <row r="438">
      <c r="A438" s="7"/>
      <c r="B438" s="7"/>
      <c r="C438" s="7"/>
      <c r="D438" s="5"/>
      <c r="E438" s="7"/>
    </row>
    <row r="439">
      <c r="A439" s="7"/>
      <c r="B439" s="7"/>
      <c r="C439" s="7"/>
      <c r="D439" s="5"/>
      <c r="E439" s="7"/>
    </row>
    <row r="440">
      <c r="A440" s="7"/>
      <c r="B440" s="7"/>
      <c r="C440" s="7"/>
      <c r="D440" s="5"/>
      <c r="E440" s="7"/>
    </row>
    <row r="441">
      <c r="A441" s="7"/>
      <c r="B441" s="7"/>
      <c r="C441" s="7"/>
      <c r="D441" s="5"/>
      <c r="E441" s="7"/>
    </row>
    <row r="442">
      <c r="A442" s="7"/>
      <c r="B442" s="7"/>
      <c r="C442" s="7"/>
      <c r="D442" s="5"/>
      <c r="E442" s="7"/>
    </row>
    <row r="443">
      <c r="A443" s="7"/>
      <c r="B443" s="7"/>
      <c r="C443" s="7"/>
      <c r="D443" s="5"/>
      <c r="E443" s="7"/>
    </row>
    <row r="444">
      <c r="A444" s="7"/>
      <c r="B444" s="7"/>
      <c r="C444" s="7"/>
      <c r="D444" s="5"/>
      <c r="E444" s="7"/>
    </row>
    <row r="445">
      <c r="A445" s="7"/>
      <c r="B445" s="7"/>
      <c r="C445" s="7"/>
      <c r="D445" s="5"/>
      <c r="E445" s="7"/>
    </row>
    <row r="446">
      <c r="A446" s="7"/>
      <c r="B446" s="7"/>
      <c r="C446" s="7"/>
      <c r="D446" s="5"/>
      <c r="E446" s="7"/>
    </row>
    <row r="447">
      <c r="A447" s="7"/>
      <c r="B447" s="7"/>
      <c r="C447" s="7"/>
      <c r="D447" s="5"/>
      <c r="E447" s="7"/>
    </row>
    <row r="448">
      <c r="A448" s="7"/>
      <c r="B448" s="7"/>
      <c r="C448" s="7"/>
      <c r="D448" s="5"/>
      <c r="E448" s="7"/>
    </row>
    <row r="449">
      <c r="A449" s="7"/>
      <c r="B449" s="7"/>
      <c r="C449" s="7"/>
      <c r="D449" s="5"/>
      <c r="E449" s="7"/>
    </row>
    <row r="450">
      <c r="A450" s="7"/>
      <c r="B450" s="7"/>
      <c r="C450" s="7"/>
      <c r="D450" s="5"/>
      <c r="E450" s="7"/>
    </row>
    <row r="451">
      <c r="A451" s="7"/>
      <c r="B451" s="7"/>
      <c r="C451" s="7"/>
      <c r="D451" s="5"/>
      <c r="E451" s="7"/>
    </row>
    <row r="452">
      <c r="A452" s="7"/>
      <c r="B452" s="7"/>
      <c r="C452" s="7"/>
      <c r="D452" s="5"/>
      <c r="E452" s="7"/>
    </row>
    <row r="453">
      <c r="A453" s="7"/>
      <c r="B453" s="7"/>
      <c r="C453" s="7"/>
      <c r="D453" s="5"/>
      <c r="E453" s="7"/>
    </row>
    <row r="454">
      <c r="A454" s="7"/>
      <c r="B454" s="7"/>
      <c r="C454" s="7"/>
      <c r="D454" s="5"/>
      <c r="E454" s="7"/>
    </row>
    <row r="455">
      <c r="A455" s="7"/>
      <c r="B455" s="7"/>
      <c r="C455" s="7"/>
      <c r="D455" s="5"/>
      <c r="E455" s="7"/>
    </row>
    <row r="456">
      <c r="A456" s="7"/>
      <c r="B456" s="7"/>
      <c r="C456" s="7"/>
      <c r="D456" s="5"/>
      <c r="E456" s="7"/>
    </row>
    <row r="457">
      <c r="A457" s="7"/>
      <c r="B457" s="7"/>
      <c r="C457" s="7"/>
      <c r="D457" s="5"/>
      <c r="E457" s="7"/>
    </row>
    <row r="458">
      <c r="A458" s="7"/>
      <c r="B458" s="7"/>
      <c r="C458" s="7"/>
      <c r="D458" s="5"/>
      <c r="E458" s="7"/>
    </row>
    <row r="459">
      <c r="A459" s="7"/>
      <c r="B459" s="7"/>
      <c r="C459" s="7"/>
      <c r="D459" s="5"/>
      <c r="E459" s="7"/>
    </row>
    <row r="460">
      <c r="A460" s="7"/>
      <c r="B460" s="7"/>
      <c r="C460" s="7"/>
      <c r="D460" s="5"/>
      <c r="E460" s="7"/>
    </row>
    <row r="461">
      <c r="A461" s="7"/>
      <c r="B461" s="7"/>
      <c r="C461" s="7"/>
      <c r="D461" s="5"/>
      <c r="E461" s="7"/>
    </row>
    <row r="462">
      <c r="A462" s="7"/>
      <c r="B462" s="7"/>
      <c r="C462" s="7"/>
      <c r="D462" s="5"/>
      <c r="E462" s="7"/>
    </row>
    <row r="463">
      <c r="A463" s="7"/>
      <c r="B463" s="7"/>
      <c r="C463" s="7"/>
      <c r="D463" s="5"/>
      <c r="E463" s="7"/>
    </row>
    <row r="464">
      <c r="A464" s="7"/>
      <c r="B464" s="7"/>
      <c r="C464" s="7"/>
      <c r="D464" s="5"/>
      <c r="E464" s="7"/>
    </row>
    <row r="465">
      <c r="A465" s="7"/>
      <c r="B465" s="7"/>
      <c r="C465" s="7"/>
      <c r="D465" s="5"/>
      <c r="E465" s="7"/>
    </row>
    <row r="466">
      <c r="A466" s="7"/>
      <c r="B466" s="7"/>
      <c r="C466" s="7"/>
      <c r="D466" s="5"/>
      <c r="E466" s="7"/>
    </row>
    <row r="467">
      <c r="A467" s="7"/>
      <c r="B467" s="7"/>
      <c r="C467" s="7"/>
      <c r="D467" s="5"/>
      <c r="E467" s="7"/>
    </row>
    <row r="468">
      <c r="A468" s="7"/>
      <c r="B468" s="7"/>
      <c r="C468" s="7"/>
      <c r="D468" s="5"/>
      <c r="E468" s="7"/>
    </row>
    <row r="469">
      <c r="A469" s="7"/>
      <c r="B469" s="7"/>
      <c r="C469" s="7"/>
      <c r="D469" s="5"/>
      <c r="E469" s="7"/>
    </row>
    <row r="470">
      <c r="A470" s="7"/>
      <c r="B470" s="7"/>
      <c r="C470" s="7"/>
      <c r="D470" s="5"/>
      <c r="E470" s="7"/>
    </row>
    <row r="471">
      <c r="A471" s="7"/>
      <c r="B471" s="7"/>
      <c r="C471" s="7"/>
      <c r="D471" s="5"/>
      <c r="E471" s="7"/>
    </row>
    <row r="472">
      <c r="A472" s="7"/>
      <c r="B472" s="7"/>
      <c r="C472" s="7"/>
      <c r="D472" s="5"/>
      <c r="E472" s="7"/>
    </row>
    <row r="473">
      <c r="A473" s="7"/>
      <c r="B473" s="7"/>
      <c r="C473" s="7"/>
      <c r="D473" s="5"/>
      <c r="E473" s="7"/>
    </row>
    <row r="474">
      <c r="A474" s="7"/>
      <c r="B474" s="7"/>
      <c r="C474" s="7"/>
      <c r="D474" s="5"/>
      <c r="E474" s="7"/>
    </row>
    <row r="475">
      <c r="A475" s="7"/>
      <c r="B475" s="7"/>
      <c r="C475" s="7"/>
      <c r="D475" s="5"/>
      <c r="E475" s="7"/>
    </row>
    <row r="476">
      <c r="A476" s="7"/>
      <c r="B476" s="7"/>
      <c r="C476" s="7"/>
      <c r="D476" s="5"/>
      <c r="E476" s="7"/>
    </row>
    <row r="477">
      <c r="A477" s="7"/>
      <c r="B477" s="7"/>
      <c r="C477" s="7"/>
      <c r="D477" s="5"/>
      <c r="E477" s="7"/>
    </row>
    <row r="478">
      <c r="A478" s="7"/>
      <c r="B478" s="7"/>
      <c r="C478" s="7"/>
      <c r="D478" s="5"/>
      <c r="E478" s="7"/>
    </row>
    <row r="479">
      <c r="A479" s="7"/>
      <c r="B479" s="7"/>
      <c r="C479" s="7"/>
      <c r="D479" s="5"/>
      <c r="E479" s="7"/>
    </row>
    <row r="480">
      <c r="A480" s="7"/>
      <c r="B480" s="7"/>
      <c r="C480" s="7"/>
      <c r="D480" s="5"/>
      <c r="E480" s="7"/>
    </row>
    <row r="481">
      <c r="A481" s="7"/>
      <c r="B481" s="7"/>
      <c r="C481" s="7"/>
      <c r="D481" s="5"/>
      <c r="E481" s="7"/>
    </row>
    <row r="482">
      <c r="A482" s="7"/>
      <c r="B482" s="7"/>
      <c r="C482" s="7"/>
      <c r="D482" s="5"/>
      <c r="E482" s="7"/>
    </row>
    <row r="483">
      <c r="A483" s="7"/>
      <c r="B483" s="7"/>
      <c r="C483" s="7"/>
      <c r="D483" s="5"/>
      <c r="E483" s="7"/>
    </row>
    <row r="484">
      <c r="A484" s="7"/>
      <c r="B484" s="7"/>
      <c r="C484" s="7"/>
      <c r="D484" s="5"/>
      <c r="E484" s="7"/>
    </row>
    <row r="485">
      <c r="A485" s="7"/>
      <c r="B485" s="7"/>
      <c r="C485" s="7"/>
      <c r="D485" s="5"/>
      <c r="E485" s="7"/>
    </row>
    <row r="486">
      <c r="A486" s="7"/>
      <c r="B486" s="7"/>
      <c r="C486" s="7"/>
      <c r="D486" s="5"/>
      <c r="E486" s="7"/>
    </row>
    <row r="487">
      <c r="A487" s="7"/>
      <c r="B487" s="7"/>
      <c r="C487" s="7"/>
      <c r="D487" s="5"/>
      <c r="E487" s="7"/>
    </row>
    <row r="488">
      <c r="A488" s="7"/>
      <c r="B488" s="7"/>
      <c r="C488" s="7"/>
      <c r="D488" s="5"/>
      <c r="E488" s="7"/>
    </row>
    <row r="489">
      <c r="A489" s="7"/>
      <c r="B489" s="7"/>
      <c r="C489" s="7"/>
      <c r="D489" s="5"/>
      <c r="E489" s="7"/>
    </row>
    <row r="490">
      <c r="A490" s="7"/>
      <c r="B490" s="7"/>
      <c r="C490" s="7"/>
      <c r="D490" s="5"/>
      <c r="E490" s="7"/>
    </row>
    <row r="491">
      <c r="A491" s="7"/>
      <c r="B491" s="7"/>
      <c r="C491" s="7"/>
      <c r="D491" s="5"/>
      <c r="E491" s="7"/>
    </row>
    <row r="492">
      <c r="A492" s="7"/>
      <c r="B492" s="7"/>
      <c r="C492" s="7"/>
      <c r="D492" s="5"/>
      <c r="E492" s="7"/>
    </row>
    <row r="493">
      <c r="A493" s="7"/>
      <c r="B493" s="7"/>
      <c r="C493" s="7"/>
      <c r="D493" s="5"/>
      <c r="E493" s="7"/>
    </row>
    <row r="494">
      <c r="A494" s="7"/>
      <c r="B494" s="7"/>
      <c r="C494" s="7"/>
      <c r="D494" s="5"/>
      <c r="E494" s="7"/>
    </row>
    <row r="495">
      <c r="A495" s="7"/>
      <c r="B495" s="7"/>
      <c r="C495" s="7"/>
      <c r="D495" s="5"/>
      <c r="E495" s="7"/>
    </row>
    <row r="496">
      <c r="A496" s="7"/>
      <c r="B496" s="7"/>
      <c r="C496" s="7"/>
      <c r="D496" s="5"/>
      <c r="E496" s="7"/>
    </row>
    <row r="497">
      <c r="A497" s="7"/>
      <c r="B497" s="7"/>
      <c r="C497" s="7"/>
      <c r="D497" s="5"/>
      <c r="E497" s="7"/>
    </row>
    <row r="498">
      <c r="A498" s="7"/>
      <c r="B498" s="7"/>
      <c r="C498" s="7"/>
      <c r="D498" s="5"/>
      <c r="E498" s="7"/>
    </row>
    <row r="499">
      <c r="A499" s="7"/>
      <c r="B499" s="7"/>
      <c r="C499" s="7"/>
      <c r="D499" s="5"/>
      <c r="E499" s="7"/>
    </row>
    <row r="500">
      <c r="A500" s="7"/>
      <c r="B500" s="7"/>
      <c r="C500" s="7"/>
      <c r="D500" s="5"/>
      <c r="E500" s="7"/>
    </row>
    <row r="501">
      <c r="A501" s="7"/>
      <c r="B501" s="7"/>
      <c r="C501" s="7"/>
      <c r="D501" s="5"/>
      <c r="E501" s="7"/>
    </row>
    <row r="502">
      <c r="A502" s="7"/>
      <c r="B502" s="7"/>
      <c r="C502" s="7"/>
      <c r="D502" s="5"/>
      <c r="E502" s="7"/>
    </row>
    <row r="503">
      <c r="A503" s="7"/>
      <c r="B503" s="7"/>
      <c r="C503" s="7"/>
      <c r="D503" s="5"/>
      <c r="E503" s="7"/>
    </row>
    <row r="504">
      <c r="A504" s="7"/>
      <c r="B504" s="7"/>
      <c r="C504" s="7"/>
      <c r="D504" s="5"/>
      <c r="E504" s="7"/>
    </row>
    <row r="505">
      <c r="A505" s="7"/>
      <c r="B505" s="7"/>
      <c r="C505" s="7"/>
      <c r="D505" s="5"/>
      <c r="E505" s="7"/>
    </row>
    <row r="506">
      <c r="A506" s="7"/>
      <c r="B506" s="7"/>
      <c r="C506" s="7"/>
      <c r="D506" s="5"/>
      <c r="E506" s="7"/>
    </row>
    <row r="507">
      <c r="A507" s="7"/>
      <c r="B507" s="7"/>
      <c r="C507" s="7"/>
      <c r="D507" s="5"/>
      <c r="E507" s="7"/>
    </row>
    <row r="508">
      <c r="A508" s="7"/>
      <c r="B508" s="7"/>
      <c r="C508" s="7"/>
      <c r="D508" s="5"/>
      <c r="E508" s="7"/>
    </row>
    <row r="509">
      <c r="A509" s="7"/>
      <c r="B509" s="7"/>
      <c r="C509" s="7"/>
      <c r="D509" s="5"/>
      <c r="E509" s="7"/>
    </row>
    <row r="510">
      <c r="A510" s="7"/>
      <c r="B510" s="7"/>
      <c r="C510" s="7"/>
      <c r="D510" s="5"/>
      <c r="E510" s="7"/>
    </row>
    <row r="511">
      <c r="A511" s="7"/>
      <c r="B511" s="7"/>
      <c r="C511" s="7"/>
      <c r="D511" s="5"/>
      <c r="E511" s="7"/>
    </row>
    <row r="512">
      <c r="A512" s="7"/>
      <c r="B512" s="7"/>
      <c r="C512" s="7"/>
      <c r="D512" s="5"/>
      <c r="E512" s="7"/>
    </row>
    <row r="513">
      <c r="A513" s="7"/>
      <c r="B513" s="7"/>
      <c r="C513" s="7"/>
      <c r="D513" s="5"/>
      <c r="E513" s="7"/>
    </row>
    <row r="514">
      <c r="A514" s="7"/>
      <c r="B514" s="7"/>
      <c r="C514" s="7"/>
      <c r="D514" s="5"/>
      <c r="E514" s="7"/>
    </row>
    <row r="515">
      <c r="A515" s="7"/>
      <c r="B515" s="7"/>
      <c r="C515" s="7"/>
      <c r="D515" s="5"/>
      <c r="E515" s="7"/>
    </row>
    <row r="516">
      <c r="A516" s="7"/>
      <c r="B516" s="7"/>
      <c r="C516" s="7"/>
      <c r="D516" s="5"/>
      <c r="E516" s="7"/>
    </row>
    <row r="517">
      <c r="A517" s="7"/>
      <c r="B517" s="7"/>
      <c r="C517" s="7"/>
      <c r="D517" s="5"/>
      <c r="E517" s="7"/>
    </row>
    <row r="518">
      <c r="A518" s="7"/>
      <c r="B518" s="7"/>
      <c r="C518" s="7"/>
      <c r="D518" s="5"/>
      <c r="E518" s="7"/>
    </row>
    <row r="519">
      <c r="A519" s="7"/>
      <c r="B519" s="7"/>
      <c r="C519" s="7"/>
      <c r="D519" s="5"/>
      <c r="E519" s="7"/>
    </row>
    <row r="520">
      <c r="A520" s="7"/>
      <c r="B520" s="7"/>
      <c r="C520" s="7"/>
      <c r="D520" s="5"/>
      <c r="E520" s="7"/>
    </row>
    <row r="521">
      <c r="A521" s="7"/>
      <c r="B521" s="7"/>
      <c r="C521" s="7"/>
      <c r="D521" s="5"/>
      <c r="E521" s="7"/>
    </row>
    <row r="522">
      <c r="A522" s="7"/>
      <c r="B522" s="7"/>
      <c r="C522" s="7"/>
      <c r="D522" s="5"/>
      <c r="E522" s="7"/>
    </row>
    <row r="523">
      <c r="A523" s="7"/>
      <c r="B523" s="7"/>
      <c r="C523" s="7"/>
      <c r="D523" s="5"/>
      <c r="E523" s="7"/>
    </row>
    <row r="524">
      <c r="A524" s="7"/>
      <c r="B524" s="7"/>
      <c r="C524" s="7"/>
      <c r="D524" s="5"/>
      <c r="E524" s="7"/>
    </row>
    <row r="525">
      <c r="A525" s="7"/>
      <c r="B525" s="7"/>
      <c r="C525" s="7"/>
      <c r="D525" s="5"/>
      <c r="E525" s="7"/>
    </row>
    <row r="526">
      <c r="A526" s="7"/>
      <c r="B526" s="7"/>
      <c r="C526" s="7"/>
      <c r="D526" s="5"/>
      <c r="E526" s="7"/>
    </row>
    <row r="527">
      <c r="A527" s="7"/>
      <c r="B527" s="7"/>
      <c r="C527" s="7"/>
      <c r="D527" s="5"/>
      <c r="E527" s="7"/>
    </row>
    <row r="528">
      <c r="A528" s="7"/>
      <c r="B528" s="7"/>
      <c r="C528" s="7"/>
      <c r="D528" s="5"/>
      <c r="E528" s="7"/>
    </row>
    <row r="529">
      <c r="A529" s="7"/>
      <c r="B529" s="7"/>
      <c r="C529" s="7"/>
      <c r="D529" s="5"/>
      <c r="E529" s="7"/>
    </row>
    <row r="530">
      <c r="A530" s="7"/>
      <c r="B530" s="7"/>
      <c r="C530" s="7"/>
      <c r="D530" s="5"/>
      <c r="E530" s="7"/>
    </row>
    <row r="531">
      <c r="A531" s="7"/>
      <c r="B531" s="7"/>
      <c r="C531" s="7"/>
      <c r="D531" s="5"/>
      <c r="E531" s="7"/>
    </row>
    <row r="532">
      <c r="A532" s="7"/>
      <c r="B532" s="7"/>
      <c r="C532" s="7"/>
      <c r="D532" s="5"/>
      <c r="E532" s="7"/>
    </row>
    <row r="533">
      <c r="A533" s="7"/>
      <c r="B533" s="7"/>
      <c r="C533" s="7"/>
      <c r="D533" s="5"/>
      <c r="E533" s="7"/>
    </row>
    <row r="534">
      <c r="A534" s="7"/>
      <c r="B534" s="7"/>
      <c r="C534" s="7"/>
      <c r="D534" s="5"/>
      <c r="E534" s="7"/>
    </row>
    <row r="535">
      <c r="A535" s="7"/>
      <c r="B535" s="7"/>
      <c r="C535" s="7"/>
      <c r="D535" s="5"/>
      <c r="E535" s="7"/>
    </row>
    <row r="536">
      <c r="A536" s="7"/>
      <c r="B536" s="7"/>
      <c r="C536" s="7"/>
      <c r="D536" s="5"/>
      <c r="E536" s="7"/>
    </row>
    <row r="537">
      <c r="A537" s="7"/>
      <c r="B537" s="7"/>
      <c r="C537" s="7"/>
      <c r="D537" s="5"/>
      <c r="E537" s="7"/>
    </row>
    <row r="538">
      <c r="A538" s="7"/>
      <c r="B538" s="7"/>
      <c r="C538" s="7"/>
      <c r="D538" s="5"/>
      <c r="E538" s="7"/>
    </row>
    <row r="539">
      <c r="A539" s="7"/>
      <c r="B539" s="7"/>
      <c r="C539" s="7"/>
      <c r="D539" s="5"/>
      <c r="E539" s="7"/>
    </row>
    <row r="540">
      <c r="A540" s="7"/>
      <c r="B540" s="7"/>
      <c r="C540" s="7"/>
      <c r="D540" s="5"/>
      <c r="E540" s="7"/>
    </row>
    <row r="541">
      <c r="A541" s="7"/>
      <c r="B541" s="7"/>
      <c r="C541" s="7"/>
      <c r="D541" s="5"/>
      <c r="E541" s="7"/>
    </row>
    <row r="542">
      <c r="A542" s="7"/>
      <c r="B542" s="7"/>
      <c r="C542" s="7"/>
      <c r="D542" s="5"/>
      <c r="E542" s="7"/>
    </row>
    <row r="543">
      <c r="A543" s="7"/>
      <c r="B543" s="7"/>
      <c r="C543" s="7"/>
      <c r="D543" s="5"/>
      <c r="E543" s="7"/>
    </row>
    <row r="544">
      <c r="A544" s="7"/>
      <c r="B544" s="7"/>
      <c r="C544" s="7"/>
      <c r="D544" s="5"/>
      <c r="E544" s="7"/>
    </row>
    <row r="545">
      <c r="A545" s="7"/>
      <c r="B545" s="7"/>
      <c r="C545" s="7"/>
      <c r="D545" s="5"/>
      <c r="E545" s="7"/>
    </row>
    <row r="546">
      <c r="A546" s="7"/>
      <c r="B546" s="7"/>
      <c r="C546" s="7"/>
      <c r="D546" s="5"/>
      <c r="E546" s="7"/>
    </row>
    <row r="547">
      <c r="A547" s="7"/>
      <c r="B547" s="7"/>
      <c r="C547" s="7"/>
      <c r="D547" s="5"/>
      <c r="E547" s="7"/>
    </row>
    <row r="548">
      <c r="A548" s="7"/>
      <c r="B548" s="7"/>
      <c r="C548" s="7"/>
      <c r="D548" s="5"/>
      <c r="E548" s="7"/>
    </row>
    <row r="549">
      <c r="A549" s="7"/>
      <c r="B549" s="7"/>
      <c r="C549" s="7"/>
      <c r="D549" s="5"/>
      <c r="E549" s="7"/>
    </row>
    <row r="550">
      <c r="A550" s="7"/>
      <c r="B550" s="7"/>
      <c r="C550" s="7"/>
      <c r="D550" s="5"/>
      <c r="E550" s="7"/>
    </row>
    <row r="551">
      <c r="A551" s="7"/>
      <c r="B551" s="7"/>
      <c r="C551" s="7"/>
      <c r="D551" s="5"/>
      <c r="E551" s="7"/>
    </row>
    <row r="552">
      <c r="A552" s="7"/>
      <c r="B552" s="7"/>
      <c r="C552" s="7"/>
      <c r="D552" s="5"/>
      <c r="E552" s="7"/>
    </row>
    <row r="553">
      <c r="A553" s="7"/>
      <c r="B553" s="7"/>
      <c r="C553" s="7"/>
      <c r="D553" s="5"/>
      <c r="E553" s="7"/>
    </row>
    <row r="554">
      <c r="A554" s="7"/>
      <c r="B554" s="7"/>
      <c r="C554" s="7"/>
      <c r="D554" s="5"/>
      <c r="E554" s="7"/>
    </row>
    <row r="555">
      <c r="A555" s="7"/>
      <c r="B555" s="7"/>
      <c r="C555" s="7"/>
      <c r="D555" s="5"/>
      <c r="E555" s="7"/>
    </row>
    <row r="556">
      <c r="A556" s="7"/>
      <c r="B556" s="7"/>
      <c r="C556" s="7"/>
      <c r="D556" s="5"/>
      <c r="E556" s="7"/>
    </row>
    <row r="557">
      <c r="A557" s="7"/>
      <c r="B557" s="7"/>
      <c r="C557" s="7"/>
      <c r="D557" s="5"/>
      <c r="E557" s="7"/>
    </row>
    <row r="558">
      <c r="A558" s="7"/>
      <c r="B558" s="7"/>
      <c r="C558" s="7"/>
      <c r="D558" s="5"/>
      <c r="E558" s="7"/>
    </row>
    <row r="559">
      <c r="A559" s="7"/>
      <c r="B559" s="7"/>
      <c r="C559" s="7"/>
      <c r="D559" s="5"/>
      <c r="E559" s="7"/>
    </row>
    <row r="560">
      <c r="A560" s="7"/>
      <c r="B560" s="7"/>
      <c r="C560" s="7"/>
      <c r="D560" s="5"/>
      <c r="E560" s="7"/>
    </row>
    <row r="561">
      <c r="A561" s="7"/>
      <c r="B561" s="7"/>
      <c r="C561" s="7"/>
      <c r="D561" s="5"/>
      <c r="E561" s="7"/>
    </row>
    <row r="562">
      <c r="A562" s="7"/>
      <c r="B562" s="7"/>
      <c r="C562" s="7"/>
      <c r="D562" s="5"/>
      <c r="E562" s="7"/>
    </row>
    <row r="563">
      <c r="A563" s="7"/>
      <c r="B563" s="7"/>
      <c r="C563" s="7"/>
      <c r="D563" s="5"/>
      <c r="E563" s="7"/>
    </row>
    <row r="564">
      <c r="A564" s="7"/>
      <c r="B564" s="7"/>
      <c r="C564" s="7"/>
      <c r="D564" s="5"/>
      <c r="E564" s="7"/>
    </row>
    <row r="565">
      <c r="A565" s="7"/>
      <c r="B565" s="7"/>
      <c r="C565" s="7"/>
      <c r="D565" s="5"/>
      <c r="E565" s="7"/>
    </row>
    <row r="566">
      <c r="A566" s="7"/>
      <c r="B566" s="7"/>
      <c r="C566" s="7"/>
      <c r="D566" s="5"/>
      <c r="E566" s="7"/>
    </row>
    <row r="567">
      <c r="A567" s="7"/>
      <c r="B567" s="7"/>
      <c r="C567" s="7"/>
      <c r="D567" s="5"/>
      <c r="E567" s="7"/>
    </row>
    <row r="568">
      <c r="A568" s="7"/>
      <c r="B568" s="7"/>
      <c r="C568" s="7"/>
      <c r="D568" s="5"/>
      <c r="E568" s="7"/>
    </row>
    <row r="569">
      <c r="A569" s="7"/>
      <c r="B569" s="7"/>
      <c r="C569" s="7"/>
      <c r="D569" s="5"/>
      <c r="E569" s="7"/>
    </row>
    <row r="570">
      <c r="A570" s="7"/>
      <c r="B570" s="7"/>
      <c r="C570" s="7"/>
      <c r="D570" s="5"/>
      <c r="E570" s="7"/>
    </row>
    <row r="571">
      <c r="A571" s="7"/>
      <c r="B571" s="7"/>
      <c r="C571" s="7"/>
      <c r="D571" s="5"/>
      <c r="E571" s="7"/>
    </row>
    <row r="572">
      <c r="A572" s="7"/>
      <c r="B572" s="7"/>
      <c r="C572" s="7"/>
      <c r="D572" s="5"/>
      <c r="E572" s="7"/>
    </row>
    <row r="573">
      <c r="A573" s="7"/>
      <c r="B573" s="7"/>
      <c r="C573" s="7"/>
      <c r="D573" s="5"/>
      <c r="E573" s="7"/>
    </row>
    <row r="574">
      <c r="A574" s="7"/>
      <c r="B574" s="7"/>
      <c r="C574" s="7"/>
      <c r="D574" s="5"/>
      <c r="E574" s="7"/>
    </row>
    <row r="575">
      <c r="A575" s="7"/>
      <c r="B575" s="7"/>
      <c r="C575" s="7"/>
      <c r="D575" s="5"/>
      <c r="E575" s="7"/>
    </row>
    <row r="576">
      <c r="A576" s="7"/>
      <c r="B576" s="7"/>
      <c r="C576" s="7"/>
      <c r="D576" s="5"/>
      <c r="E576" s="7"/>
    </row>
    <row r="577">
      <c r="A577" s="7"/>
      <c r="B577" s="7"/>
      <c r="C577" s="7"/>
      <c r="D577" s="5"/>
      <c r="E577" s="7"/>
    </row>
    <row r="578">
      <c r="A578" s="7"/>
      <c r="B578" s="7"/>
      <c r="C578" s="7"/>
      <c r="D578" s="5"/>
      <c r="E578" s="7"/>
    </row>
    <row r="579">
      <c r="A579" s="7"/>
      <c r="B579" s="7"/>
      <c r="C579" s="7"/>
      <c r="D579" s="5"/>
      <c r="E579" s="7"/>
    </row>
    <row r="580">
      <c r="A580" s="7"/>
      <c r="B580" s="7"/>
      <c r="C580" s="7"/>
      <c r="D580" s="5"/>
      <c r="E580" s="7"/>
    </row>
    <row r="581">
      <c r="A581" s="7"/>
      <c r="B581" s="7"/>
      <c r="C581" s="7"/>
      <c r="D581" s="5"/>
      <c r="E581" s="7"/>
    </row>
    <row r="582">
      <c r="A582" s="7"/>
      <c r="B582" s="7"/>
      <c r="C582" s="7"/>
      <c r="D582" s="5"/>
      <c r="E582" s="7"/>
    </row>
    <row r="583">
      <c r="A583" s="7"/>
      <c r="B583" s="7"/>
      <c r="C583" s="7"/>
      <c r="D583" s="5"/>
      <c r="E583" s="7"/>
    </row>
    <row r="584">
      <c r="A584" s="7"/>
      <c r="B584" s="7"/>
      <c r="C584" s="7"/>
      <c r="D584" s="5"/>
      <c r="E584" s="7"/>
    </row>
    <row r="585">
      <c r="A585" s="7"/>
      <c r="B585" s="7"/>
      <c r="C585" s="7"/>
      <c r="D585" s="5"/>
      <c r="E585" s="7"/>
    </row>
    <row r="586">
      <c r="A586" s="7"/>
      <c r="B586" s="7"/>
      <c r="C586" s="7"/>
      <c r="D586" s="5"/>
      <c r="E586" s="7"/>
    </row>
    <row r="587">
      <c r="A587" s="7"/>
      <c r="B587" s="7"/>
      <c r="C587" s="7"/>
      <c r="D587" s="5"/>
      <c r="E587" s="7"/>
    </row>
    <row r="588">
      <c r="A588" s="7"/>
      <c r="B588" s="7"/>
      <c r="C588" s="7"/>
      <c r="D588" s="5"/>
      <c r="E588" s="7"/>
    </row>
    <row r="589">
      <c r="A589" s="7"/>
      <c r="B589" s="7"/>
      <c r="C589" s="7"/>
      <c r="D589" s="5"/>
      <c r="E589" s="7"/>
    </row>
    <row r="590">
      <c r="A590" s="7"/>
      <c r="B590" s="7"/>
      <c r="C590" s="7"/>
      <c r="D590" s="5"/>
      <c r="E590" s="7"/>
    </row>
    <row r="591">
      <c r="A591" s="7"/>
      <c r="B591" s="7"/>
      <c r="C591" s="7"/>
      <c r="D591" s="5"/>
      <c r="E591" s="7"/>
    </row>
    <row r="592">
      <c r="A592" s="7"/>
      <c r="B592" s="7"/>
      <c r="C592" s="7"/>
      <c r="D592" s="5"/>
      <c r="E592" s="7"/>
    </row>
    <row r="593">
      <c r="A593" s="7"/>
      <c r="B593" s="7"/>
      <c r="C593" s="7"/>
      <c r="D593" s="5"/>
      <c r="E593" s="7"/>
    </row>
    <row r="594">
      <c r="A594" s="7"/>
      <c r="B594" s="7"/>
      <c r="C594" s="7"/>
      <c r="D594" s="5"/>
      <c r="E594" s="7"/>
    </row>
    <row r="595">
      <c r="A595" s="7"/>
      <c r="B595" s="7"/>
      <c r="C595" s="7"/>
      <c r="D595" s="5"/>
      <c r="E595" s="7"/>
    </row>
    <row r="596">
      <c r="A596" s="7"/>
      <c r="B596" s="7"/>
      <c r="C596" s="7"/>
      <c r="D596" s="5"/>
      <c r="E596" s="7"/>
    </row>
    <row r="597">
      <c r="A597" s="7"/>
      <c r="B597" s="7"/>
      <c r="C597" s="7"/>
      <c r="D597" s="5"/>
      <c r="E597" s="7"/>
    </row>
    <row r="598">
      <c r="A598" s="7"/>
      <c r="B598" s="7"/>
      <c r="C598" s="7"/>
      <c r="D598" s="5"/>
      <c r="E598" s="7"/>
    </row>
    <row r="599">
      <c r="A599" s="7"/>
      <c r="B599" s="7"/>
      <c r="C599" s="7"/>
      <c r="D599" s="5"/>
      <c r="E599" s="7"/>
    </row>
    <row r="600">
      <c r="A600" s="7"/>
      <c r="B600" s="7"/>
      <c r="C600" s="7"/>
      <c r="D600" s="5"/>
      <c r="E600" s="7"/>
    </row>
    <row r="601">
      <c r="A601" s="7"/>
      <c r="B601" s="7"/>
      <c r="C601" s="7"/>
      <c r="D601" s="5"/>
      <c r="E601" s="7"/>
    </row>
    <row r="602">
      <c r="A602" s="7"/>
      <c r="B602" s="7"/>
      <c r="C602" s="7"/>
      <c r="D602" s="5"/>
      <c r="E602" s="7"/>
    </row>
    <row r="603">
      <c r="A603" s="7"/>
      <c r="B603" s="7"/>
      <c r="C603" s="7"/>
      <c r="D603" s="5"/>
      <c r="E603" s="7"/>
    </row>
    <row r="604">
      <c r="A604" s="7"/>
      <c r="B604" s="7"/>
      <c r="C604" s="7"/>
      <c r="D604" s="5"/>
      <c r="E604" s="7"/>
    </row>
    <row r="605">
      <c r="A605" s="7"/>
      <c r="B605" s="7"/>
      <c r="C605" s="7"/>
      <c r="D605" s="5"/>
      <c r="E605" s="7"/>
    </row>
    <row r="606">
      <c r="A606" s="7"/>
      <c r="B606" s="7"/>
      <c r="C606" s="7"/>
      <c r="D606" s="5"/>
      <c r="E606" s="7"/>
    </row>
    <row r="607">
      <c r="A607" s="7"/>
      <c r="B607" s="7"/>
      <c r="C607" s="7"/>
      <c r="D607" s="5"/>
      <c r="E607" s="7"/>
    </row>
    <row r="608">
      <c r="A608" s="7"/>
      <c r="B608" s="7"/>
      <c r="C608" s="7"/>
      <c r="D608" s="5"/>
      <c r="E608" s="7"/>
    </row>
    <row r="609">
      <c r="A609" s="7"/>
      <c r="B609" s="7"/>
      <c r="C609" s="7"/>
      <c r="D609" s="5"/>
      <c r="E609" s="7"/>
    </row>
    <row r="610">
      <c r="A610" s="7"/>
      <c r="B610" s="7"/>
      <c r="C610" s="7"/>
      <c r="D610" s="5"/>
      <c r="E610" s="7"/>
    </row>
    <row r="611">
      <c r="A611" s="7"/>
      <c r="B611" s="7"/>
      <c r="C611" s="7"/>
      <c r="D611" s="5"/>
      <c r="E611" s="7"/>
    </row>
    <row r="612">
      <c r="A612" s="7"/>
      <c r="B612" s="7"/>
      <c r="C612" s="7"/>
      <c r="D612" s="5"/>
      <c r="E612" s="7"/>
    </row>
    <row r="613">
      <c r="A613" s="7"/>
      <c r="B613" s="7"/>
      <c r="C613" s="7"/>
      <c r="D613" s="5"/>
      <c r="E613" s="7"/>
    </row>
    <row r="614">
      <c r="A614" s="7"/>
      <c r="B614" s="7"/>
      <c r="C614" s="7"/>
      <c r="D614" s="5"/>
      <c r="E614" s="7"/>
    </row>
    <row r="615">
      <c r="A615" s="7"/>
      <c r="B615" s="7"/>
      <c r="C615" s="7"/>
      <c r="D615" s="5"/>
      <c r="E615" s="7"/>
    </row>
    <row r="616">
      <c r="A616" s="7"/>
      <c r="B616" s="7"/>
      <c r="C616" s="7"/>
      <c r="D616" s="5"/>
      <c r="E616" s="7"/>
    </row>
    <row r="617">
      <c r="A617" s="7"/>
      <c r="B617" s="7"/>
      <c r="C617" s="7"/>
      <c r="D617" s="5"/>
      <c r="E617" s="7"/>
    </row>
    <row r="618">
      <c r="A618" s="7"/>
      <c r="B618" s="7"/>
      <c r="C618" s="7"/>
      <c r="D618" s="5"/>
      <c r="E618" s="7"/>
    </row>
    <row r="619">
      <c r="A619" s="7"/>
      <c r="B619" s="7"/>
      <c r="C619" s="7"/>
      <c r="D619" s="5"/>
      <c r="E619" s="7"/>
    </row>
    <row r="620">
      <c r="A620" s="7"/>
      <c r="B620" s="7"/>
      <c r="C620" s="7"/>
      <c r="D620" s="5"/>
      <c r="E620" s="7"/>
    </row>
    <row r="621">
      <c r="A621" s="7"/>
      <c r="B621" s="7"/>
      <c r="C621" s="7"/>
      <c r="D621" s="5"/>
      <c r="E621" s="7"/>
    </row>
    <row r="622">
      <c r="A622" s="7"/>
      <c r="B622" s="7"/>
      <c r="C622" s="7"/>
      <c r="D622" s="5"/>
      <c r="E622" s="7"/>
    </row>
    <row r="623">
      <c r="A623" s="7"/>
      <c r="B623" s="7"/>
      <c r="C623" s="7"/>
      <c r="D623" s="5"/>
      <c r="E623" s="7"/>
    </row>
    <row r="624">
      <c r="A624" s="7"/>
      <c r="B624" s="7"/>
      <c r="C624" s="7"/>
      <c r="D624" s="5"/>
      <c r="E624" s="7"/>
    </row>
    <row r="625">
      <c r="A625" s="7"/>
      <c r="B625" s="7"/>
      <c r="C625" s="7"/>
      <c r="D625" s="5"/>
      <c r="E625" s="7"/>
    </row>
    <row r="626">
      <c r="A626" s="7"/>
      <c r="B626" s="7"/>
      <c r="C626" s="7"/>
      <c r="D626" s="5"/>
      <c r="E626" s="7"/>
    </row>
    <row r="627">
      <c r="A627" s="7"/>
      <c r="B627" s="7"/>
      <c r="C627" s="7"/>
      <c r="D627" s="5"/>
      <c r="E627" s="7"/>
    </row>
    <row r="628">
      <c r="A628" s="7"/>
      <c r="B628" s="7"/>
      <c r="C628" s="7"/>
      <c r="D628" s="5"/>
      <c r="E628" s="7"/>
    </row>
    <row r="629">
      <c r="A629" s="7"/>
      <c r="B629" s="7"/>
      <c r="C629" s="7"/>
      <c r="D629" s="5"/>
      <c r="E629" s="7"/>
    </row>
    <row r="630">
      <c r="A630" s="7"/>
      <c r="B630" s="7"/>
      <c r="C630" s="7"/>
      <c r="D630" s="5"/>
      <c r="E630" s="7"/>
    </row>
    <row r="631">
      <c r="A631" s="7"/>
      <c r="B631" s="7"/>
      <c r="C631" s="7"/>
      <c r="D631" s="5"/>
      <c r="E631" s="7"/>
    </row>
    <row r="632">
      <c r="A632" s="7"/>
      <c r="B632" s="7"/>
      <c r="C632" s="7"/>
      <c r="D632" s="5"/>
      <c r="E632" s="7"/>
    </row>
    <row r="633">
      <c r="A633" s="7"/>
      <c r="B633" s="7"/>
      <c r="C633" s="7"/>
      <c r="D633" s="5"/>
      <c r="E633" s="7"/>
    </row>
    <row r="634">
      <c r="A634" s="7"/>
      <c r="B634" s="7"/>
      <c r="C634" s="7"/>
      <c r="D634" s="5"/>
      <c r="E634" s="7"/>
    </row>
    <row r="635">
      <c r="A635" s="7"/>
      <c r="B635" s="7"/>
      <c r="C635" s="7"/>
      <c r="D635" s="5"/>
      <c r="E635" s="7"/>
    </row>
    <row r="636">
      <c r="A636" s="7"/>
      <c r="B636" s="7"/>
      <c r="C636" s="7"/>
      <c r="D636" s="5"/>
      <c r="E636" s="7"/>
    </row>
    <row r="637">
      <c r="A637" s="7"/>
      <c r="B637" s="7"/>
      <c r="C637" s="7"/>
      <c r="D637" s="5"/>
      <c r="E637" s="7"/>
    </row>
    <row r="638">
      <c r="A638" s="7"/>
      <c r="B638" s="7"/>
      <c r="C638" s="7"/>
      <c r="D638" s="5"/>
      <c r="E638" s="7"/>
    </row>
    <row r="639">
      <c r="A639" s="7"/>
      <c r="B639" s="7"/>
      <c r="C639" s="7"/>
      <c r="D639" s="5"/>
      <c r="E639" s="7"/>
    </row>
    <row r="640">
      <c r="A640" s="7"/>
      <c r="B640" s="7"/>
      <c r="C640" s="7"/>
      <c r="D640" s="5"/>
      <c r="E640" s="7"/>
    </row>
    <row r="641">
      <c r="A641" s="7"/>
      <c r="B641" s="7"/>
      <c r="C641" s="7"/>
      <c r="D641" s="5"/>
      <c r="E641" s="7"/>
    </row>
    <row r="642">
      <c r="A642" s="7"/>
      <c r="B642" s="7"/>
      <c r="C642" s="7"/>
      <c r="D642" s="5"/>
      <c r="E642" s="7"/>
    </row>
    <row r="643">
      <c r="A643" s="7"/>
      <c r="B643" s="7"/>
      <c r="C643" s="7"/>
      <c r="D643" s="5"/>
      <c r="E643" s="7"/>
    </row>
    <row r="644">
      <c r="A644" s="7"/>
      <c r="B644" s="7"/>
      <c r="C644" s="7"/>
      <c r="D644" s="5"/>
      <c r="E644" s="7"/>
    </row>
    <row r="645">
      <c r="A645" s="7"/>
      <c r="B645" s="7"/>
      <c r="C645" s="7"/>
      <c r="D645" s="5"/>
      <c r="E645" s="7"/>
    </row>
    <row r="646">
      <c r="A646" s="7"/>
      <c r="B646" s="7"/>
      <c r="C646" s="7"/>
      <c r="D646" s="5"/>
      <c r="E646" s="7"/>
    </row>
    <row r="647">
      <c r="A647" s="7"/>
      <c r="B647" s="7"/>
      <c r="C647" s="7"/>
      <c r="D647" s="5"/>
      <c r="E647" s="7"/>
    </row>
    <row r="648">
      <c r="A648" s="7"/>
      <c r="B648" s="7"/>
      <c r="C648" s="7"/>
      <c r="D648" s="5"/>
      <c r="E648" s="7"/>
    </row>
    <row r="649">
      <c r="A649" s="7"/>
      <c r="B649" s="7"/>
      <c r="C649" s="7"/>
      <c r="D649" s="5"/>
      <c r="E649" s="7"/>
    </row>
    <row r="650">
      <c r="A650" s="7"/>
      <c r="B650" s="7"/>
      <c r="C650" s="7"/>
      <c r="D650" s="5"/>
      <c r="E650" s="7"/>
    </row>
    <row r="651">
      <c r="A651" s="7"/>
      <c r="B651" s="7"/>
      <c r="C651" s="7"/>
      <c r="D651" s="5"/>
      <c r="E651" s="7"/>
    </row>
    <row r="652">
      <c r="A652" s="7"/>
      <c r="B652" s="7"/>
      <c r="C652" s="7"/>
      <c r="D652" s="5"/>
      <c r="E652" s="7"/>
    </row>
    <row r="653">
      <c r="A653" s="7"/>
      <c r="B653" s="7"/>
      <c r="C653" s="7"/>
      <c r="D653" s="5"/>
      <c r="E653" s="7"/>
    </row>
    <row r="654">
      <c r="A654" s="7"/>
      <c r="B654" s="7"/>
      <c r="C654" s="7"/>
      <c r="D654" s="5"/>
      <c r="E654" s="7"/>
    </row>
    <row r="655">
      <c r="A655" s="7"/>
      <c r="B655" s="7"/>
      <c r="C655" s="7"/>
      <c r="D655" s="5"/>
      <c r="E655" s="7"/>
    </row>
    <row r="656">
      <c r="A656" s="7"/>
      <c r="B656" s="7"/>
      <c r="C656" s="7"/>
      <c r="D656" s="5"/>
      <c r="E656" s="7"/>
    </row>
    <row r="657">
      <c r="A657" s="7"/>
      <c r="B657" s="7"/>
      <c r="C657" s="7"/>
      <c r="D657" s="5"/>
      <c r="E657" s="7"/>
    </row>
    <row r="658">
      <c r="A658" s="7"/>
      <c r="B658" s="7"/>
      <c r="C658" s="7"/>
      <c r="D658" s="5"/>
      <c r="E658" s="7"/>
    </row>
    <row r="659">
      <c r="A659" s="7"/>
      <c r="B659" s="7"/>
      <c r="C659" s="7"/>
      <c r="D659" s="5"/>
      <c r="E659" s="7"/>
    </row>
    <row r="660">
      <c r="A660" s="7"/>
      <c r="B660" s="7"/>
      <c r="C660" s="7"/>
      <c r="D660" s="5"/>
      <c r="E660" s="7"/>
    </row>
    <row r="661">
      <c r="A661" s="7"/>
      <c r="B661" s="7"/>
      <c r="C661" s="7"/>
      <c r="D661" s="5"/>
      <c r="E661" s="7"/>
    </row>
    <row r="662">
      <c r="A662" s="7"/>
      <c r="B662" s="7"/>
      <c r="C662" s="7"/>
      <c r="D662" s="5"/>
      <c r="E662" s="7"/>
    </row>
    <row r="663">
      <c r="A663" s="7"/>
      <c r="B663" s="7"/>
      <c r="C663" s="7"/>
      <c r="D663" s="5"/>
      <c r="E663" s="7"/>
    </row>
    <row r="664">
      <c r="A664" s="7"/>
      <c r="B664" s="7"/>
      <c r="C664" s="7"/>
      <c r="D664" s="5"/>
      <c r="E664" s="7"/>
    </row>
    <row r="665">
      <c r="A665" s="7"/>
      <c r="B665" s="7"/>
      <c r="C665" s="7"/>
      <c r="D665" s="5"/>
      <c r="E665" s="7"/>
    </row>
    <row r="666">
      <c r="A666" s="7"/>
      <c r="B666" s="7"/>
      <c r="C666" s="7"/>
      <c r="D666" s="5"/>
      <c r="E666" s="7"/>
    </row>
    <row r="667">
      <c r="A667" s="7"/>
      <c r="B667" s="7"/>
      <c r="C667" s="7"/>
      <c r="D667" s="5"/>
      <c r="E667" s="7"/>
    </row>
    <row r="668">
      <c r="A668" s="7"/>
      <c r="B668" s="7"/>
      <c r="C668" s="7"/>
      <c r="D668" s="5"/>
      <c r="E668" s="7"/>
    </row>
    <row r="669">
      <c r="A669" s="7"/>
      <c r="B669" s="7"/>
      <c r="C669" s="7"/>
      <c r="D669" s="5"/>
      <c r="E669" s="7"/>
    </row>
    <row r="670">
      <c r="A670" s="7"/>
      <c r="B670" s="7"/>
      <c r="C670" s="7"/>
      <c r="D670" s="5"/>
      <c r="E670" s="7"/>
    </row>
    <row r="671">
      <c r="A671" s="7"/>
      <c r="B671" s="7"/>
      <c r="C671" s="7"/>
      <c r="D671" s="5"/>
      <c r="E671" s="7"/>
    </row>
    <row r="672">
      <c r="A672" s="7"/>
      <c r="B672" s="7"/>
      <c r="C672" s="7"/>
      <c r="D672" s="5"/>
      <c r="E672" s="7"/>
    </row>
    <row r="673">
      <c r="A673" s="7"/>
      <c r="B673" s="7"/>
      <c r="C673" s="7"/>
      <c r="D673" s="5"/>
      <c r="E673" s="7"/>
    </row>
    <row r="674">
      <c r="A674" s="7"/>
      <c r="B674" s="7"/>
      <c r="C674" s="7"/>
      <c r="D674" s="5"/>
      <c r="E674" s="7"/>
    </row>
    <row r="675">
      <c r="A675" s="7"/>
      <c r="B675" s="7"/>
      <c r="C675" s="7"/>
      <c r="D675" s="5"/>
      <c r="E675" s="7"/>
    </row>
    <row r="676">
      <c r="A676" s="7"/>
      <c r="B676" s="7"/>
      <c r="C676" s="7"/>
      <c r="D676" s="5"/>
      <c r="E676" s="7"/>
    </row>
    <row r="677">
      <c r="A677" s="7"/>
      <c r="B677" s="7"/>
      <c r="C677" s="7"/>
      <c r="D677" s="5"/>
      <c r="E677" s="7"/>
    </row>
    <row r="678">
      <c r="A678" s="7"/>
      <c r="B678" s="7"/>
      <c r="C678" s="7"/>
      <c r="D678" s="5"/>
      <c r="E678" s="7"/>
    </row>
    <row r="679">
      <c r="A679" s="7"/>
      <c r="B679" s="7"/>
      <c r="C679" s="7"/>
      <c r="D679" s="5"/>
      <c r="E679" s="7"/>
    </row>
    <row r="680">
      <c r="A680" s="7"/>
      <c r="B680" s="7"/>
      <c r="C680" s="7"/>
      <c r="D680" s="5"/>
      <c r="E680" s="7"/>
    </row>
    <row r="681">
      <c r="A681" s="7"/>
      <c r="B681" s="7"/>
      <c r="C681" s="7"/>
      <c r="D681" s="5"/>
      <c r="E681" s="7"/>
    </row>
    <row r="682">
      <c r="A682" s="7"/>
      <c r="B682" s="7"/>
      <c r="C682" s="7"/>
      <c r="D682" s="5"/>
      <c r="E682" s="7"/>
    </row>
    <row r="683">
      <c r="A683" s="7"/>
      <c r="B683" s="7"/>
      <c r="C683" s="7"/>
      <c r="D683" s="5"/>
      <c r="E683" s="7"/>
    </row>
    <row r="684">
      <c r="A684" s="7"/>
      <c r="B684" s="7"/>
      <c r="C684" s="7"/>
      <c r="D684" s="5"/>
      <c r="E684" s="7"/>
    </row>
    <row r="685">
      <c r="A685" s="7"/>
      <c r="B685" s="7"/>
      <c r="C685" s="7"/>
      <c r="D685" s="5"/>
      <c r="E685" s="7"/>
    </row>
    <row r="686">
      <c r="A686" s="7"/>
      <c r="B686" s="7"/>
      <c r="C686" s="7"/>
      <c r="D686" s="5"/>
      <c r="E686" s="7"/>
    </row>
    <row r="687">
      <c r="A687" s="7"/>
      <c r="B687" s="7"/>
      <c r="C687" s="7"/>
      <c r="D687" s="5"/>
      <c r="E687" s="7"/>
    </row>
    <row r="688">
      <c r="A688" s="7"/>
      <c r="B688" s="7"/>
      <c r="C688" s="7"/>
      <c r="D688" s="5"/>
      <c r="E688" s="7"/>
    </row>
    <row r="689">
      <c r="A689" s="7"/>
      <c r="B689" s="7"/>
      <c r="C689" s="7"/>
      <c r="D689" s="5"/>
      <c r="E689" s="7"/>
    </row>
    <row r="690">
      <c r="A690" s="7"/>
      <c r="B690" s="7"/>
      <c r="C690" s="7"/>
      <c r="D690" s="5"/>
      <c r="E690" s="7"/>
    </row>
    <row r="691">
      <c r="A691" s="7"/>
      <c r="B691" s="7"/>
      <c r="C691" s="7"/>
      <c r="D691" s="5"/>
      <c r="E691" s="7"/>
    </row>
    <row r="692">
      <c r="A692" s="7"/>
      <c r="B692" s="7"/>
      <c r="C692" s="7"/>
      <c r="D692" s="5"/>
      <c r="E692" s="7"/>
    </row>
    <row r="693">
      <c r="A693" s="7"/>
      <c r="B693" s="7"/>
      <c r="C693" s="7"/>
      <c r="D693" s="5"/>
      <c r="E693" s="7"/>
    </row>
    <row r="694">
      <c r="A694" s="7"/>
      <c r="B694" s="7"/>
      <c r="C694" s="7"/>
      <c r="D694" s="5"/>
      <c r="E694" s="7"/>
    </row>
    <row r="695">
      <c r="A695" s="7"/>
      <c r="B695" s="7"/>
      <c r="C695" s="7"/>
      <c r="D695" s="5"/>
      <c r="E695" s="7"/>
    </row>
    <row r="696">
      <c r="A696" s="7"/>
      <c r="B696" s="7"/>
      <c r="C696" s="7"/>
      <c r="D696" s="5"/>
      <c r="E696" s="7"/>
    </row>
    <row r="697">
      <c r="A697" s="7"/>
      <c r="B697" s="7"/>
      <c r="C697" s="7"/>
      <c r="D697" s="5"/>
      <c r="E697" s="7"/>
    </row>
    <row r="698">
      <c r="A698" s="7"/>
      <c r="B698" s="7"/>
      <c r="C698" s="7"/>
      <c r="D698" s="5"/>
      <c r="E698" s="7"/>
    </row>
    <row r="699">
      <c r="A699" s="7"/>
      <c r="B699" s="7"/>
      <c r="C699" s="7"/>
      <c r="D699" s="5"/>
      <c r="E699" s="7"/>
    </row>
    <row r="700">
      <c r="A700" s="7"/>
      <c r="B700" s="7"/>
      <c r="C700" s="7"/>
      <c r="D700" s="5"/>
      <c r="E700" s="7"/>
    </row>
    <row r="701">
      <c r="A701" s="7"/>
      <c r="B701" s="7"/>
      <c r="C701" s="7"/>
      <c r="D701" s="5"/>
      <c r="E701" s="7"/>
    </row>
    <row r="702">
      <c r="A702" s="7"/>
      <c r="B702" s="7"/>
      <c r="C702" s="7"/>
      <c r="D702" s="5"/>
      <c r="E702" s="7"/>
    </row>
    <row r="703">
      <c r="A703" s="7"/>
      <c r="B703" s="7"/>
      <c r="C703" s="7"/>
      <c r="D703" s="5"/>
      <c r="E703" s="7"/>
    </row>
    <row r="704">
      <c r="A704" s="7"/>
      <c r="B704" s="7"/>
      <c r="C704" s="7"/>
      <c r="D704" s="5"/>
      <c r="E704" s="7"/>
    </row>
    <row r="705">
      <c r="A705" s="7"/>
      <c r="B705" s="7"/>
      <c r="C705" s="7"/>
      <c r="D705" s="5"/>
      <c r="E705" s="7"/>
    </row>
    <row r="706">
      <c r="A706" s="7"/>
      <c r="B706" s="7"/>
      <c r="C706" s="7"/>
      <c r="D706" s="5"/>
      <c r="E706" s="7"/>
    </row>
    <row r="707">
      <c r="A707" s="7"/>
      <c r="B707" s="7"/>
      <c r="C707" s="7"/>
      <c r="D707" s="5"/>
      <c r="E707" s="7"/>
    </row>
    <row r="708">
      <c r="A708" s="7"/>
      <c r="B708" s="7"/>
      <c r="C708" s="7"/>
      <c r="D708" s="5"/>
      <c r="E708" s="7"/>
    </row>
    <row r="709">
      <c r="A709" s="7"/>
      <c r="B709" s="7"/>
      <c r="C709" s="7"/>
      <c r="D709" s="5"/>
      <c r="E709" s="7"/>
    </row>
    <row r="710">
      <c r="A710" s="7"/>
      <c r="B710" s="7"/>
      <c r="C710" s="7"/>
      <c r="D710" s="5"/>
      <c r="E710" s="7"/>
    </row>
    <row r="711">
      <c r="A711" s="7"/>
      <c r="B711" s="7"/>
      <c r="C711" s="7"/>
      <c r="D711" s="5"/>
      <c r="E711" s="7"/>
    </row>
    <row r="712">
      <c r="A712" s="7"/>
      <c r="B712" s="7"/>
      <c r="C712" s="7"/>
      <c r="D712" s="5"/>
      <c r="E712" s="7"/>
    </row>
    <row r="713">
      <c r="A713" s="7"/>
      <c r="B713" s="7"/>
      <c r="C713" s="7"/>
      <c r="D713" s="5"/>
      <c r="E713" s="7"/>
    </row>
    <row r="714">
      <c r="A714" s="7"/>
      <c r="B714" s="7"/>
      <c r="C714" s="7"/>
      <c r="D714" s="5"/>
      <c r="E714" s="7"/>
    </row>
    <row r="715">
      <c r="A715" s="7"/>
      <c r="B715" s="7"/>
      <c r="C715" s="7"/>
      <c r="D715" s="5"/>
      <c r="E715" s="7"/>
    </row>
    <row r="716">
      <c r="A716" s="7"/>
      <c r="B716" s="7"/>
      <c r="C716" s="7"/>
      <c r="D716" s="5"/>
      <c r="E716" s="7"/>
    </row>
    <row r="717">
      <c r="A717" s="7"/>
      <c r="B717" s="7"/>
      <c r="C717" s="7"/>
      <c r="D717" s="5"/>
      <c r="E717" s="7"/>
    </row>
    <row r="718">
      <c r="A718" s="7"/>
      <c r="B718" s="7"/>
      <c r="C718" s="7"/>
      <c r="D718" s="5"/>
      <c r="E718" s="7"/>
    </row>
    <row r="719">
      <c r="A719" s="7"/>
      <c r="B719" s="7"/>
      <c r="C719" s="7"/>
      <c r="D719" s="5"/>
      <c r="E719" s="7"/>
    </row>
    <row r="720">
      <c r="A720" s="7"/>
      <c r="B720" s="7"/>
      <c r="C720" s="7"/>
      <c r="D720" s="5"/>
      <c r="E720" s="7"/>
    </row>
    <row r="721">
      <c r="A721" s="7"/>
      <c r="B721" s="7"/>
      <c r="C721" s="7"/>
      <c r="D721" s="5"/>
      <c r="E721" s="7"/>
    </row>
    <row r="722">
      <c r="A722" s="7"/>
      <c r="B722" s="7"/>
      <c r="C722" s="7"/>
      <c r="D722" s="5"/>
      <c r="E722" s="7"/>
    </row>
    <row r="723">
      <c r="A723" s="7"/>
      <c r="B723" s="7"/>
      <c r="C723" s="7"/>
      <c r="D723" s="5"/>
      <c r="E723" s="7"/>
    </row>
    <row r="724">
      <c r="A724" s="7"/>
      <c r="B724" s="7"/>
      <c r="C724" s="7"/>
      <c r="D724" s="5"/>
      <c r="E724" s="7"/>
    </row>
    <row r="725">
      <c r="A725" s="7"/>
      <c r="B725" s="7"/>
      <c r="C725" s="7"/>
      <c r="D725" s="5"/>
      <c r="E725" s="7"/>
    </row>
    <row r="726">
      <c r="A726" s="7"/>
      <c r="B726" s="7"/>
      <c r="C726" s="7"/>
      <c r="D726" s="5"/>
      <c r="E726" s="7"/>
    </row>
    <row r="727">
      <c r="A727" s="7"/>
      <c r="B727" s="7"/>
      <c r="C727" s="7"/>
      <c r="D727" s="5"/>
      <c r="E727" s="7"/>
    </row>
    <row r="728">
      <c r="A728" s="7"/>
      <c r="B728" s="7"/>
      <c r="C728" s="7"/>
      <c r="D728" s="5"/>
      <c r="E728" s="7"/>
    </row>
    <row r="729">
      <c r="A729" s="7"/>
      <c r="B729" s="7"/>
      <c r="C729" s="7"/>
      <c r="D729" s="5"/>
      <c r="E729" s="7"/>
    </row>
    <row r="730">
      <c r="A730" s="7"/>
      <c r="B730" s="7"/>
      <c r="C730" s="7"/>
      <c r="D730" s="5"/>
      <c r="E730" s="7"/>
    </row>
    <row r="731">
      <c r="A731" s="7"/>
      <c r="B731" s="7"/>
      <c r="C731" s="7"/>
      <c r="D731" s="5"/>
      <c r="E731" s="7"/>
    </row>
    <row r="732">
      <c r="A732" s="7"/>
      <c r="B732" s="7"/>
      <c r="C732" s="7"/>
      <c r="D732" s="5"/>
      <c r="E732" s="7"/>
    </row>
    <row r="733">
      <c r="A733" s="7"/>
      <c r="B733" s="7"/>
      <c r="C733" s="7"/>
      <c r="D733" s="5"/>
      <c r="E733" s="7"/>
    </row>
    <row r="734">
      <c r="A734" s="7"/>
      <c r="B734" s="7"/>
      <c r="C734" s="7"/>
      <c r="D734" s="5"/>
      <c r="E734" s="7"/>
    </row>
    <row r="735">
      <c r="A735" s="7"/>
      <c r="B735" s="7"/>
      <c r="C735" s="7"/>
      <c r="D735" s="5"/>
      <c r="E735" s="7"/>
    </row>
    <row r="736">
      <c r="A736" s="7"/>
      <c r="B736" s="7"/>
      <c r="C736" s="7"/>
      <c r="D736" s="5"/>
      <c r="E736" s="7"/>
    </row>
    <row r="737">
      <c r="A737" s="7"/>
      <c r="B737" s="7"/>
      <c r="C737" s="7"/>
      <c r="D737" s="5"/>
      <c r="E737" s="7"/>
    </row>
    <row r="738">
      <c r="A738" s="7"/>
      <c r="B738" s="7"/>
      <c r="C738" s="7"/>
      <c r="D738" s="5"/>
      <c r="E738" s="7"/>
    </row>
    <row r="739">
      <c r="A739" s="7"/>
      <c r="B739" s="7"/>
      <c r="C739" s="7"/>
      <c r="D739" s="5"/>
      <c r="E739" s="7"/>
    </row>
    <row r="740">
      <c r="A740" s="7"/>
      <c r="B740" s="7"/>
      <c r="C740" s="7"/>
      <c r="D740" s="5"/>
      <c r="E740" s="7"/>
    </row>
    <row r="741">
      <c r="A741" s="7"/>
      <c r="B741" s="7"/>
      <c r="C741" s="7"/>
      <c r="D741" s="5"/>
      <c r="E741" s="7"/>
    </row>
    <row r="742">
      <c r="A742" s="7"/>
      <c r="B742" s="7"/>
      <c r="C742" s="7"/>
      <c r="D742" s="5"/>
      <c r="E742" s="7"/>
    </row>
    <row r="743">
      <c r="A743" s="7"/>
      <c r="B743" s="7"/>
      <c r="C743" s="7"/>
      <c r="D743" s="5"/>
      <c r="E743" s="7"/>
    </row>
    <row r="744">
      <c r="A744" s="7"/>
      <c r="B744" s="7"/>
      <c r="C744" s="7"/>
      <c r="D744" s="5"/>
      <c r="E744" s="7"/>
    </row>
    <row r="745">
      <c r="A745" s="7"/>
      <c r="B745" s="7"/>
      <c r="C745" s="7"/>
      <c r="D745" s="5"/>
      <c r="E745" s="7"/>
    </row>
    <row r="746">
      <c r="A746" s="7"/>
      <c r="B746" s="7"/>
      <c r="C746" s="7"/>
      <c r="D746" s="5"/>
      <c r="E746" s="7"/>
    </row>
    <row r="747">
      <c r="A747" s="7"/>
      <c r="B747" s="7"/>
      <c r="C747" s="7"/>
      <c r="D747" s="5"/>
      <c r="E747" s="7"/>
    </row>
    <row r="748">
      <c r="A748" s="7"/>
      <c r="B748" s="7"/>
      <c r="C748" s="7"/>
      <c r="D748" s="5"/>
      <c r="E748" s="7"/>
    </row>
    <row r="749">
      <c r="A749" s="7"/>
      <c r="B749" s="7"/>
      <c r="C749" s="7"/>
      <c r="D749" s="5"/>
      <c r="E749" s="7"/>
    </row>
    <row r="750">
      <c r="A750" s="7"/>
      <c r="B750" s="7"/>
      <c r="C750" s="7"/>
      <c r="D750" s="5"/>
      <c r="E750" s="7"/>
    </row>
    <row r="751">
      <c r="A751" s="7"/>
      <c r="B751" s="7"/>
      <c r="C751" s="7"/>
      <c r="D751" s="5"/>
      <c r="E751" s="7"/>
    </row>
    <row r="752">
      <c r="A752" s="7"/>
      <c r="B752" s="7"/>
      <c r="C752" s="7"/>
      <c r="D752" s="5"/>
      <c r="E752" s="7"/>
    </row>
    <row r="753">
      <c r="A753" s="7"/>
      <c r="B753" s="7"/>
      <c r="C753" s="7"/>
      <c r="D753" s="5"/>
      <c r="E753" s="7"/>
    </row>
    <row r="754">
      <c r="A754" s="7"/>
      <c r="B754" s="7"/>
      <c r="C754" s="7"/>
      <c r="D754" s="5"/>
      <c r="E754" s="7"/>
    </row>
    <row r="755">
      <c r="A755" s="7"/>
      <c r="B755" s="7"/>
      <c r="C755" s="7"/>
      <c r="D755" s="5"/>
      <c r="E755" s="7"/>
    </row>
    <row r="756">
      <c r="A756" s="7"/>
      <c r="B756" s="7"/>
      <c r="C756" s="7"/>
      <c r="D756" s="5"/>
      <c r="E756" s="7"/>
    </row>
    <row r="757">
      <c r="A757" s="7"/>
      <c r="B757" s="7"/>
      <c r="C757" s="7"/>
      <c r="D757" s="5"/>
      <c r="E757" s="7"/>
    </row>
    <row r="758">
      <c r="A758" s="7"/>
      <c r="B758" s="7"/>
      <c r="C758" s="7"/>
      <c r="D758" s="5"/>
      <c r="E758" s="7"/>
    </row>
    <row r="759">
      <c r="A759" s="7"/>
      <c r="B759" s="7"/>
      <c r="C759" s="7"/>
      <c r="D759" s="5"/>
      <c r="E759" s="7"/>
    </row>
    <row r="760">
      <c r="A760" s="7"/>
      <c r="B760" s="7"/>
      <c r="C760" s="7"/>
      <c r="D760" s="5"/>
      <c r="E760" s="7"/>
    </row>
    <row r="761">
      <c r="A761" s="7"/>
      <c r="B761" s="7"/>
      <c r="C761" s="7"/>
      <c r="D761" s="5"/>
      <c r="E761" s="7"/>
    </row>
    <row r="762">
      <c r="A762" s="7"/>
      <c r="B762" s="7"/>
      <c r="C762" s="7"/>
      <c r="D762" s="5"/>
      <c r="E762" s="7"/>
    </row>
    <row r="763">
      <c r="A763" s="7"/>
      <c r="B763" s="7"/>
      <c r="C763" s="7"/>
      <c r="D763" s="5"/>
      <c r="E763" s="7"/>
    </row>
    <row r="764">
      <c r="A764" s="7"/>
      <c r="B764" s="7"/>
      <c r="C764" s="7"/>
      <c r="D764" s="5"/>
      <c r="E764" s="7"/>
    </row>
    <row r="765">
      <c r="A765" s="7"/>
      <c r="B765" s="7"/>
      <c r="C765" s="7"/>
      <c r="D765" s="5"/>
      <c r="E765" s="7"/>
    </row>
    <row r="766">
      <c r="A766" s="7"/>
      <c r="B766" s="7"/>
      <c r="C766" s="7"/>
      <c r="D766" s="5"/>
      <c r="E766" s="7"/>
    </row>
    <row r="767">
      <c r="A767" s="7"/>
      <c r="B767" s="7"/>
      <c r="C767" s="7"/>
      <c r="D767" s="5"/>
      <c r="E767" s="7"/>
    </row>
    <row r="768">
      <c r="A768" s="7"/>
      <c r="B768" s="7"/>
      <c r="C768" s="7"/>
      <c r="D768" s="5"/>
      <c r="E768" s="7"/>
    </row>
    <row r="769">
      <c r="A769" s="7"/>
      <c r="B769" s="7"/>
      <c r="C769" s="7"/>
      <c r="D769" s="5"/>
      <c r="E769" s="7"/>
    </row>
    <row r="770">
      <c r="A770" s="7"/>
      <c r="B770" s="7"/>
      <c r="C770" s="7"/>
      <c r="D770" s="5"/>
      <c r="E770" s="7"/>
    </row>
    <row r="771">
      <c r="A771" s="7"/>
      <c r="B771" s="7"/>
      <c r="C771" s="7"/>
      <c r="D771" s="5"/>
      <c r="E771" s="7"/>
    </row>
    <row r="772">
      <c r="A772" s="7"/>
      <c r="B772" s="7"/>
      <c r="C772" s="7"/>
      <c r="D772" s="5"/>
      <c r="E772" s="7"/>
    </row>
    <row r="773">
      <c r="A773" s="7"/>
      <c r="B773" s="7"/>
      <c r="C773" s="7"/>
      <c r="D773" s="5"/>
      <c r="E773" s="7"/>
    </row>
    <row r="774">
      <c r="A774" s="7"/>
      <c r="B774" s="7"/>
      <c r="C774" s="7"/>
      <c r="D774" s="5"/>
      <c r="E774" s="7"/>
    </row>
    <row r="775">
      <c r="A775" s="7"/>
      <c r="B775" s="7"/>
      <c r="C775" s="7"/>
      <c r="D775" s="5"/>
      <c r="E775" s="7"/>
    </row>
    <row r="776">
      <c r="A776" s="7"/>
      <c r="B776" s="7"/>
      <c r="C776" s="7"/>
      <c r="D776" s="5"/>
      <c r="E776" s="7"/>
    </row>
    <row r="777">
      <c r="A777" s="7"/>
      <c r="B777" s="7"/>
      <c r="C777" s="7"/>
      <c r="D777" s="5"/>
      <c r="E777" s="7"/>
    </row>
    <row r="778">
      <c r="A778" s="7"/>
      <c r="B778" s="7"/>
      <c r="C778" s="7"/>
      <c r="D778" s="5"/>
      <c r="E778" s="7"/>
    </row>
    <row r="779">
      <c r="A779" s="7"/>
      <c r="B779" s="7"/>
      <c r="C779" s="7"/>
      <c r="D779" s="5"/>
      <c r="E779" s="7"/>
    </row>
    <row r="780">
      <c r="A780" s="7"/>
      <c r="B780" s="7"/>
      <c r="C780" s="7"/>
      <c r="D780" s="5"/>
      <c r="E780" s="7"/>
    </row>
    <row r="781">
      <c r="A781" s="7"/>
      <c r="B781" s="7"/>
      <c r="C781" s="7"/>
      <c r="D781" s="5"/>
      <c r="E781" s="7"/>
    </row>
    <row r="782">
      <c r="A782" s="7"/>
      <c r="B782" s="7"/>
      <c r="C782" s="7"/>
      <c r="D782" s="5"/>
      <c r="E782" s="7"/>
    </row>
    <row r="783">
      <c r="A783" s="7"/>
      <c r="B783" s="7"/>
      <c r="C783" s="7"/>
      <c r="D783" s="5"/>
      <c r="E783" s="7"/>
    </row>
    <row r="784">
      <c r="A784" s="7"/>
      <c r="B784" s="7"/>
      <c r="C784" s="7"/>
      <c r="D784" s="5"/>
      <c r="E784" s="7"/>
    </row>
    <row r="785">
      <c r="A785" s="7"/>
      <c r="B785" s="7"/>
      <c r="C785" s="7"/>
      <c r="D785" s="5"/>
      <c r="E785" s="7"/>
    </row>
    <row r="786">
      <c r="A786" s="7"/>
      <c r="B786" s="7"/>
      <c r="C786" s="7"/>
      <c r="D786" s="5"/>
      <c r="E786" s="7"/>
    </row>
    <row r="787">
      <c r="A787" s="7"/>
      <c r="B787" s="7"/>
      <c r="C787" s="7"/>
      <c r="D787" s="5"/>
      <c r="E787" s="7"/>
    </row>
    <row r="788">
      <c r="A788" s="7"/>
      <c r="B788" s="7"/>
      <c r="C788" s="7"/>
      <c r="D788" s="5"/>
      <c r="E788" s="7"/>
    </row>
    <row r="789">
      <c r="A789" s="7"/>
      <c r="B789" s="7"/>
      <c r="C789" s="7"/>
      <c r="D789" s="5"/>
      <c r="E789" s="7"/>
    </row>
    <row r="790">
      <c r="A790" s="7"/>
      <c r="B790" s="7"/>
      <c r="C790" s="7"/>
      <c r="D790" s="5"/>
      <c r="E790" s="7"/>
    </row>
    <row r="791">
      <c r="A791" s="7"/>
      <c r="B791" s="7"/>
      <c r="C791" s="7"/>
      <c r="D791" s="5"/>
      <c r="E791" s="7"/>
    </row>
    <row r="792">
      <c r="A792" s="7"/>
      <c r="B792" s="7"/>
      <c r="C792" s="7"/>
      <c r="D792" s="5"/>
      <c r="E792" s="7"/>
    </row>
    <row r="793">
      <c r="A793" s="7"/>
      <c r="B793" s="7"/>
      <c r="C793" s="7"/>
      <c r="D793" s="5"/>
      <c r="E793" s="7"/>
    </row>
    <row r="794">
      <c r="A794" s="7"/>
      <c r="B794" s="7"/>
      <c r="C794" s="7"/>
      <c r="D794" s="5"/>
      <c r="E794" s="7"/>
    </row>
    <row r="795">
      <c r="A795" s="7"/>
      <c r="B795" s="7"/>
      <c r="C795" s="7"/>
      <c r="D795" s="5"/>
      <c r="E795" s="7"/>
    </row>
    <row r="796">
      <c r="A796" s="7"/>
      <c r="B796" s="7"/>
      <c r="C796" s="7"/>
      <c r="D796" s="5"/>
      <c r="E796" s="7"/>
    </row>
    <row r="797">
      <c r="A797" s="7"/>
      <c r="B797" s="7"/>
      <c r="C797" s="7"/>
      <c r="D797" s="5"/>
      <c r="E797" s="7"/>
    </row>
    <row r="798">
      <c r="A798" s="7"/>
      <c r="B798" s="7"/>
      <c r="C798" s="7"/>
      <c r="D798" s="5"/>
      <c r="E798" s="7"/>
    </row>
    <row r="799">
      <c r="A799" s="7"/>
      <c r="B799" s="7"/>
      <c r="C799" s="7"/>
      <c r="D799" s="5"/>
      <c r="E799" s="7"/>
    </row>
    <row r="800">
      <c r="A800" s="7"/>
      <c r="B800" s="7"/>
      <c r="C800" s="7"/>
      <c r="D800" s="5"/>
      <c r="E800" s="7"/>
    </row>
    <row r="801">
      <c r="A801" s="7"/>
      <c r="B801" s="7"/>
      <c r="C801" s="7"/>
      <c r="D801" s="5"/>
      <c r="E801" s="7"/>
    </row>
    <row r="802">
      <c r="A802" s="7"/>
      <c r="B802" s="7"/>
      <c r="C802" s="7"/>
      <c r="D802" s="5"/>
      <c r="E802" s="7"/>
    </row>
    <row r="803">
      <c r="A803" s="7"/>
      <c r="B803" s="7"/>
      <c r="C803" s="7"/>
      <c r="D803" s="5"/>
      <c r="E803" s="7"/>
    </row>
    <row r="804">
      <c r="A804" s="7"/>
      <c r="B804" s="7"/>
      <c r="C804" s="7"/>
      <c r="D804" s="5"/>
      <c r="E804" s="7"/>
    </row>
    <row r="805">
      <c r="A805" s="7"/>
      <c r="B805" s="7"/>
      <c r="C805" s="7"/>
      <c r="D805" s="5"/>
      <c r="E805" s="7"/>
    </row>
    <row r="806">
      <c r="A806" s="7"/>
      <c r="B806" s="7"/>
      <c r="C806" s="7"/>
      <c r="D806" s="5"/>
      <c r="E806" s="7"/>
    </row>
    <row r="807">
      <c r="A807" s="7"/>
      <c r="B807" s="7"/>
      <c r="C807" s="7"/>
      <c r="D807" s="5"/>
      <c r="E807" s="7"/>
    </row>
    <row r="808">
      <c r="A808" s="7"/>
      <c r="B808" s="7"/>
      <c r="C808" s="7"/>
      <c r="D808" s="5"/>
      <c r="E808" s="7"/>
    </row>
    <row r="809">
      <c r="A809" s="7"/>
      <c r="B809" s="7"/>
      <c r="C809" s="7"/>
      <c r="D809" s="5"/>
      <c r="E809" s="7"/>
    </row>
    <row r="810">
      <c r="A810" s="7"/>
      <c r="B810" s="7"/>
      <c r="C810" s="7"/>
      <c r="D810" s="5"/>
      <c r="E810" s="7"/>
    </row>
    <row r="811">
      <c r="A811" s="7"/>
      <c r="B811" s="7"/>
      <c r="C811" s="7"/>
      <c r="D811" s="5"/>
      <c r="E811" s="7"/>
    </row>
    <row r="812">
      <c r="A812" s="7"/>
      <c r="B812" s="7"/>
      <c r="C812" s="7"/>
      <c r="D812" s="5"/>
      <c r="E812" s="7"/>
    </row>
    <row r="813">
      <c r="A813" s="7"/>
      <c r="B813" s="7"/>
      <c r="C813" s="7"/>
      <c r="D813" s="5"/>
      <c r="E813" s="7"/>
    </row>
    <row r="814">
      <c r="A814" s="7"/>
      <c r="B814" s="7"/>
      <c r="C814" s="7"/>
      <c r="D814" s="5"/>
      <c r="E814" s="7"/>
    </row>
    <row r="815">
      <c r="A815" s="7"/>
      <c r="B815" s="7"/>
      <c r="C815" s="7"/>
      <c r="D815" s="5"/>
      <c r="E815" s="7"/>
    </row>
    <row r="816">
      <c r="A816" s="7"/>
      <c r="B816" s="7"/>
      <c r="C816" s="7"/>
      <c r="D816" s="5"/>
      <c r="E816" s="7"/>
    </row>
    <row r="817">
      <c r="A817" s="7"/>
      <c r="B817" s="7"/>
      <c r="C817" s="7"/>
      <c r="D817" s="5"/>
      <c r="E817" s="7"/>
    </row>
    <row r="818">
      <c r="A818" s="7"/>
      <c r="B818" s="7"/>
      <c r="C818" s="7"/>
      <c r="D818" s="5"/>
      <c r="E818" s="7"/>
    </row>
    <row r="819">
      <c r="A819" s="7"/>
      <c r="B819" s="7"/>
      <c r="C819" s="7"/>
      <c r="D819" s="5"/>
      <c r="E819" s="7"/>
    </row>
    <row r="820">
      <c r="A820" s="7"/>
      <c r="B820" s="7"/>
      <c r="C820" s="7"/>
      <c r="D820" s="5"/>
      <c r="E820" s="7"/>
    </row>
    <row r="821">
      <c r="A821" s="7"/>
      <c r="B821" s="7"/>
      <c r="C821" s="7"/>
      <c r="D821" s="5"/>
      <c r="E821" s="7"/>
    </row>
    <row r="822">
      <c r="A822" s="7"/>
      <c r="B822" s="7"/>
      <c r="C822" s="7"/>
      <c r="D822" s="5"/>
      <c r="E822" s="7"/>
    </row>
    <row r="823">
      <c r="A823" s="7"/>
      <c r="B823" s="7"/>
      <c r="C823" s="7"/>
      <c r="D823" s="5"/>
      <c r="E823" s="7"/>
    </row>
    <row r="824">
      <c r="A824" s="7"/>
      <c r="B824" s="7"/>
      <c r="C824" s="7"/>
      <c r="D824" s="5"/>
      <c r="E824" s="7"/>
    </row>
    <row r="825">
      <c r="A825" s="7"/>
      <c r="B825" s="7"/>
      <c r="C825" s="7"/>
      <c r="D825" s="5"/>
      <c r="E825" s="7"/>
    </row>
    <row r="826">
      <c r="A826" s="7"/>
      <c r="B826" s="7"/>
      <c r="C826" s="7"/>
      <c r="D826" s="5"/>
      <c r="E826" s="7"/>
    </row>
    <row r="827">
      <c r="A827" s="7"/>
      <c r="B827" s="7"/>
      <c r="C827" s="7"/>
      <c r="D827" s="5"/>
      <c r="E827" s="7"/>
    </row>
    <row r="828">
      <c r="A828" s="7"/>
      <c r="B828" s="7"/>
      <c r="C828" s="7"/>
      <c r="D828" s="5"/>
      <c r="E828" s="7"/>
    </row>
    <row r="829">
      <c r="A829" s="7"/>
      <c r="B829" s="7"/>
      <c r="C829" s="7"/>
      <c r="D829" s="5"/>
      <c r="E829" s="7"/>
    </row>
    <row r="830">
      <c r="A830" s="7"/>
      <c r="B830" s="7"/>
      <c r="C830" s="7"/>
      <c r="D830" s="5"/>
      <c r="E830" s="7"/>
    </row>
    <row r="831">
      <c r="A831" s="7"/>
      <c r="B831" s="7"/>
      <c r="C831" s="7"/>
      <c r="D831" s="5"/>
      <c r="E831" s="7"/>
    </row>
    <row r="832">
      <c r="A832" s="7"/>
      <c r="B832" s="7"/>
      <c r="C832" s="7"/>
      <c r="D832" s="5"/>
      <c r="E832" s="7"/>
    </row>
    <row r="833">
      <c r="A833" s="7"/>
      <c r="B833" s="7"/>
      <c r="C833" s="7"/>
      <c r="D833" s="5"/>
      <c r="E833" s="7"/>
    </row>
    <row r="834">
      <c r="A834" s="7"/>
      <c r="B834" s="7"/>
      <c r="C834" s="7"/>
      <c r="D834" s="5"/>
      <c r="E834" s="7"/>
    </row>
    <row r="835">
      <c r="A835" s="7"/>
      <c r="B835" s="7"/>
      <c r="C835" s="7"/>
      <c r="D835" s="5"/>
      <c r="E835" s="7"/>
    </row>
    <row r="836">
      <c r="A836" s="7"/>
      <c r="B836" s="7"/>
      <c r="C836" s="7"/>
      <c r="D836" s="5"/>
      <c r="E836" s="7"/>
    </row>
    <row r="837">
      <c r="A837" s="7"/>
      <c r="B837" s="7"/>
      <c r="C837" s="7"/>
      <c r="D837" s="5"/>
      <c r="E837" s="7"/>
    </row>
    <row r="838">
      <c r="A838" s="7"/>
      <c r="B838" s="7"/>
      <c r="C838" s="7"/>
      <c r="D838" s="5"/>
      <c r="E838" s="7"/>
    </row>
    <row r="839">
      <c r="A839" s="7"/>
      <c r="B839" s="7"/>
      <c r="C839" s="7"/>
      <c r="D839" s="5"/>
      <c r="E839" s="7"/>
    </row>
    <row r="840">
      <c r="A840" s="7"/>
      <c r="B840" s="7"/>
      <c r="C840" s="7"/>
      <c r="D840" s="5"/>
      <c r="E840" s="7"/>
    </row>
    <row r="841">
      <c r="A841" s="7"/>
      <c r="B841" s="7"/>
      <c r="C841" s="7"/>
      <c r="D841" s="5"/>
      <c r="E841" s="7"/>
    </row>
    <row r="842">
      <c r="A842" s="7"/>
      <c r="B842" s="7"/>
      <c r="C842" s="7"/>
      <c r="D842" s="5"/>
      <c r="E842" s="7"/>
    </row>
    <row r="843">
      <c r="A843" s="7"/>
      <c r="B843" s="7"/>
      <c r="C843" s="7"/>
      <c r="D843" s="5"/>
      <c r="E843" s="7"/>
    </row>
    <row r="844">
      <c r="A844" s="7"/>
      <c r="B844" s="7"/>
      <c r="C844" s="7"/>
      <c r="D844" s="5"/>
      <c r="E844" s="7"/>
    </row>
    <row r="845">
      <c r="A845" s="7"/>
      <c r="B845" s="7"/>
      <c r="C845" s="7"/>
      <c r="D845" s="5"/>
      <c r="E845" s="7"/>
    </row>
    <row r="846">
      <c r="A846" s="7"/>
      <c r="B846" s="7"/>
      <c r="C846" s="7"/>
      <c r="D846" s="5"/>
      <c r="E846" s="7"/>
    </row>
    <row r="847">
      <c r="A847" s="7"/>
      <c r="B847" s="7"/>
      <c r="C847" s="7"/>
      <c r="D847" s="5"/>
      <c r="E847" s="7"/>
    </row>
    <row r="848">
      <c r="A848" s="7"/>
      <c r="B848" s="7"/>
      <c r="C848" s="7"/>
      <c r="D848" s="5"/>
      <c r="E848" s="7"/>
    </row>
    <row r="849">
      <c r="A849" s="7"/>
      <c r="B849" s="7"/>
      <c r="C849" s="7"/>
      <c r="D849" s="5"/>
      <c r="E849" s="7"/>
    </row>
    <row r="850">
      <c r="A850" s="7"/>
      <c r="B850" s="7"/>
      <c r="C850" s="7"/>
      <c r="D850" s="5"/>
      <c r="E850" s="7"/>
    </row>
    <row r="851">
      <c r="A851" s="7"/>
      <c r="B851" s="7"/>
      <c r="C851" s="7"/>
      <c r="D851" s="5"/>
      <c r="E851" s="7"/>
    </row>
    <row r="852">
      <c r="A852" s="7"/>
      <c r="B852" s="7"/>
      <c r="C852" s="7"/>
      <c r="D852" s="5"/>
      <c r="E852" s="7"/>
    </row>
    <row r="853">
      <c r="A853" s="7"/>
      <c r="B853" s="7"/>
      <c r="C853" s="7"/>
      <c r="D853" s="5"/>
      <c r="E853" s="7"/>
    </row>
    <row r="854">
      <c r="A854" s="7"/>
      <c r="B854" s="7"/>
      <c r="C854" s="7"/>
      <c r="D854" s="5"/>
      <c r="E854" s="7"/>
    </row>
    <row r="855">
      <c r="A855" s="7"/>
      <c r="B855" s="7"/>
      <c r="C855" s="7"/>
      <c r="D855" s="5"/>
      <c r="E855" s="7"/>
    </row>
    <row r="856">
      <c r="A856" s="7"/>
      <c r="B856" s="7"/>
      <c r="C856" s="7"/>
      <c r="D856" s="5"/>
      <c r="E856" s="7"/>
    </row>
    <row r="857">
      <c r="A857" s="7"/>
      <c r="B857" s="7"/>
      <c r="C857" s="7"/>
      <c r="D857" s="5"/>
      <c r="E857" s="7"/>
    </row>
    <row r="858">
      <c r="A858" s="7"/>
      <c r="B858" s="7"/>
      <c r="C858" s="7"/>
      <c r="D858" s="5"/>
      <c r="E858" s="7"/>
    </row>
    <row r="859">
      <c r="A859" s="7"/>
      <c r="B859" s="7"/>
      <c r="C859" s="7"/>
      <c r="D859" s="5"/>
      <c r="E859" s="7"/>
    </row>
    <row r="860">
      <c r="A860" s="7"/>
      <c r="B860" s="7"/>
      <c r="C860" s="7"/>
      <c r="D860" s="5"/>
      <c r="E860" s="7"/>
    </row>
    <row r="861">
      <c r="A861" s="7"/>
      <c r="B861" s="7"/>
      <c r="C861" s="7"/>
      <c r="D861" s="5"/>
      <c r="E861" s="7"/>
    </row>
    <row r="862">
      <c r="A862" s="7"/>
      <c r="B862" s="7"/>
      <c r="C862" s="7"/>
      <c r="D862" s="5"/>
      <c r="E862" s="7"/>
    </row>
    <row r="863">
      <c r="A863" s="7"/>
      <c r="B863" s="7"/>
      <c r="C863" s="7"/>
      <c r="D863" s="5"/>
      <c r="E863" s="7"/>
    </row>
    <row r="864">
      <c r="A864" s="7"/>
      <c r="B864" s="7"/>
      <c r="C864" s="7"/>
      <c r="D864" s="5"/>
      <c r="E864" s="7"/>
    </row>
    <row r="865">
      <c r="A865" s="7"/>
      <c r="B865" s="7"/>
      <c r="C865" s="7"/>
      <c r="D865" s="5"/>
      <c r="E865" s="7"/>
    </row>
    <row r="866">
      <c r="A866" s="7"/>
      <c r="B866" s="7"/>
      <c r="C866" s="7"/>
      <c r="D866" s="5"/>
      <c r="E866" s="7"/>
    </row>
    <row r="867">
      <c r="A867" s="7"/>
      <c r="B867" s="7"/>
      <c r="C867" s="7"/>
      <c r="D867" s="5"/>
      <c r="E867" s="7"/>
    </row>
    <row r="868">
      <c r="A868" s="7"/>
      <c r="B868" s="7"/>
      <c r="C868" s="7"/>
      <c r="D868" s="5"/>
      <c r="E868" s="7"/>
    </row>
    <row r="869">
      <c r="A869" s="7"/>
      <c r="B869" s="7"/>
      <c r="C869" s="7"/>
      <c r="D869" s="5"/>
      <c r="E869" s="7"/>
    </row>
    <row r="870">
      <c r="A870" s="7"/>
      <c r="B870" s="7"/>
      <c r="C870" s="7"/>
      <c r="D870" s="5"/>
      <c r="E870" s="7"/>
    </row>
    <row r="871">
      <c r="A871" s="7"/>
      <c r="B871" s="7"/>
      <c r="C871" s="7"/>
      <c r="D871" s="5"/>
      <c r="E871" s="7"/>
    </row>
    <row r="872">
      <c r="A872" s="7"/>
      <c r="B872" s="7"/>
      <c r="C872" s="7"/>
      <c r="D872" s="5"/>
      <c r="E872" s="7"/>
    </row>
    <row r="873">
      <c r="A873" s="7"/>
      <c r="B873" s="7"/>
      <c r="C873" s="7"/>
      <c r="D873" s="5"/>
      <c r="E873" s="7"/>
    </row>
    <row r="874">
      <c r="A874" s="7"/>
      <c r="B874" s="7"/>
      <c r="C874" s="7"/>
      <c r="D874" s="5"/>
      <c r="E874" s="7"/>
    </row>
    <row r="875">
      <c r="A875" s="7"/>
      <c r="B875" s="7"/>
      <c r="C875" s="7"/>
      <c r="D875" s="5"/>
      <c r="E875" s="7"/>
    </row>
    <row r="876">
      <c r="A876" s="7"/>
      <c r="B876" s="7"/>
      <c r="C876" s="7"/>
      <c r="D876" s="5"/>
      <c r="E876" s="7"/>
    </row>
    <row r="877">
      <c r="A877" s="7"/>
      <c r="B877" s="7"/>
      <c r="C877" s="7"/>
      <c r="D877" s="5"/>
      <c r="E877" s="7"/>
    </row>
    <row r="878">
      <c r="A878" s="7"/>
      <c r="B878" s="7"/>
      <c r="C878" s="7"/>
      <c r="D878" s="5"/>
      <c r="E878" s="7"/>
    </row>
    <row r="879">
      <c r="A879" s="7"/>
      <c r="B879" s="7"/>
      <c r="C879" s="7"/>
      <c r="D879" s="5"/>
      <c r="E879" s="7"/>
    </row>
    <row r="880">
      <c r="A880" s="7"/>
      <c r="B880" s="7"/>
      <c r="C880" s="7"/>
      <c r="D880" s="5"/>
      <c r="E880" s="7"/>
    </row>
    <row r="881">
      <c r="A881" s="7"/>
      <c r="B881" s="7"/>
      <c r="C881" s="7"/>
      <c r="D881" s="5"/>
      <c r="E881" s="7"/>
    </row>
    <row r="882">
      <c r="A882" s="7"/>
      <c r="B882" s="7"/>
      <c r="C882" s="7"/>
      <c r="D882" s="5"/>
      <c r="E882" s="7"/>
    </row>
    <row r="883">
      <c r="A883" s="7"/>
      <c r="B883" s="7"/>
      <c r="C883" s="7"/>
      <c r="D883" s="5"/>
      <c r="E883" s="7"/>
    </row>
    <row r="884">
      <c r="A884" s="7"/>
      <c r="B884" s="7"/>
      <c r="C884" s="7"/>
      <c r="D884" s="5"/>
      <c r="E884" s="7"/>
    </row>
    <row r="885">
      <c r="A885" s="7"/>
      <c r="B885" s="7"/>
      <c r="C885" s="7"/>
      <c r="D885" s="5"/>
      <c r="E885" s="7"/>
    </row>
    <row r="886">
      <c r="A886" s="7"/>
      <c r="B886" s="7"/>
      <c r="C886" s="7"/>
      <c r="D886" s="5"/>
      <c r="E886" s="7"/>
    </row>
    <row r="887">
      <c r="A887" s="7"/>
      <c r="B887" s="7"/>
      <c r="C887" s="7"/>
      <c r="D887" s="5"/>
      <c r="E887" s="7"/>
    </row>
    <row r="888">
      <c r="A888" s="7"/>
      <c r="B888" s="7"/>
      <c r="C888" s="7"/>
      <c r="D888" s="5"/>
      <c r="E888" s="7"/>
    </row>
    <row r="889">
      <c r="A889" s="7"/>
      <c r="B889" s="7"/>
      <c r="C889" s="7"/>
      <c r="D889" s="5"/>
      <c r="E889" s="7"/>
    </row>
    <row r="890">
      <c r="A890" s="7"/>
      <c r="B890" s="7"/>
      <c r="C890" s="7"/>
      <c r="D890" s="5"/>
      <c r="E890" s="7"/>
    </row>
    <row r="891">
      <c r="A891" s="7"/>
      <c r="B891" s="7"/>
      <c r="C891" s="7"/>
      <c r="D891" s="5"/>
      <c r="E891" s="7"/>
    </row>
    <row r="892">
      <c r="A892" s="7"/>
      <c r="B892" s="7"/>
      <c r="C892" s="7"/>
      <c r="D892" s="5"/>
      <c r="E892" s="7"/>
    </row>
    <row r="893">
      <c r="A893" s="7"/>
      <c r="B893" s="7"/>
      <c r="C893" s="7"/>
      <c r="D893" s="5"/>
      <c r="E893" s="7"/>
    </row>
    <row r="894">
      <c r="A894" s="7"/>
      <c r="B894" s="7"/>
      <c r="C894" s="7"/>
      <c r="D894" s="5"/>
      <c r="E894" s="7"/>
    </row>
    <row r="895">
      <c r="A895" s="7"/>
      <c r="B895" s="7"/>
      <c r="C895" s="7"/>
      <c r="D895" s="5"/>
      <c r="E895" s="7"/>
    </row>
    <row r="896">
      <c r="A896" s="7"/>
      <c r="B896" s="7"/>
      <c r="C896" s="7"/>
      <c r="D896" s="5"/>
      <c r="E896" s="7"/>
    </row>
    <row r="897">
      <c r="A897" s="7"/>
      <c r="B897" s="7"/>
      <c r="C897" s="7"/>
      <c r="D897" s="5"/>
      <c r="E897" s="7"/>
    </row>
    <row r="898">
      <c r="A898" s="7"/>
      <c r="B898" s="7"/>
      <c r="C898" s="7"/>
      <c r="D898" s="5"/>
      <c r="E898" s="7"/>
    </row>
    <row r="899">
      <c r="A899" s="7"/>
      <c r="B899" s="7"/>
      <c r="C899" s="7"/>
      <c r="D899" s="5"/>
      <c r="E899" s="7"/>
    </row>
    <row r="900">
      <c r="A900" s="7"/>
      <c r="B900" s="7"/>
      <c r="C900" s="7"/>
      <c r="D900" s="5"/>
      <c r="E900" s="7"/>
    </row>
    <row r="901">
      <c r="A901" s="7"/>
      <c r="B901" s="7"/>
      <c r="C901" s="7"/>
      <c r="D901" s="5"/>
      <c r="E901" s="7"/>
    </row>
    <row r="902">
      <c r="A902" s="7"/>
      <c r="B902" s="7"/>
      <c r="C902" s="7"/>
      <c r="D902" s="5"/>
      <c r="E902" s="7"/>
    </row>
    <row r="903">
      <c r="A903" s="7"/>
      <c r="B903" s="7"/>
      <c r="C903" s="7"/>
      <c r="D903" s="5"/>
      <c r="E903" s="7"/>
    </row>
    <row r="904">
      <c r="A904" s="7"/>
      <c r="B904" s="7"/>
      <c r="C904" s="7"/>
      <c r="D904" s="5"/>
      <c r="E904" s="7"/>
    </row>
    <row r="905">
      <c r="A905" s="7"/>
      <c r="B905" s="7"/>
      <c r="C905" s="7"/>
      <c r="D905" s="5"/>
      <c r="E905" s="7"/>
    </row>
    <row r="906">
      <c r="A906" s="7"/>
      <c r="B906" s="7"/>
      <c r="C906" s="7"/>
      <c r="D906" s="5"/>
      <c r="E906" s="7"/>
    </row>
    <row r="907">
      <c r="A907" s="7"/>
      <c r="B907" s="7"/>
      <c r="C907" s="7"/>
      <c r="D907" s="5"/>
      <c r="E907" s="7"/>
    </row>
    <row r="908">
      <c r="A908" s="7"/>
      <c r="B908" s="7"/>
      <c r="C908" s="7"/>
      <c r="D908" s="5"/>
      <c r="E908" s="7"/>
    </row>
    <row r="909">
      <c r="A909" s="7"/>
      <c r="B909" s="7"/>
      <c r="C909" s="7"/>
      <c r="D909" s="5"/>
      <c r="E909" s="7"/>
    </row>
    <row r="910">
      <c r="A910" s="7"/>
      <c r="B910" s="7"/>
      <c r="C910" s="7"/>
      <c r="D910" s="5"/>
      <c r="E910" s="7"/>
    </row>
    <row r="911">
      <c r="A911" s="7"/>
      <c r="B911" s="7"/>
      <c r="C911" s="7"/>
      <c r="D911" s="5"/>
      <c r="E911" s="7"/>
    </row>
    <row r="912">
      <c r="A912" s="7"/>
      <c r="B912" s="7"/>
      <c r="C912" s="7"/>
      <c r="D912" s="5"/>
      <c r="E912" s="7"/>
    </row>
    <row r="913">
      <c r="A913" s="7"/>
      <c r="B913" s="7"/>
      <c r="C913" s="7"/>
      <c r="D913" s="5"/>
      <c r="E913" s="7"/>
    </row>
    <row r="914">
      <c r="A914" s="7"/>
      <c r="B914" s="7"/>
      <c r="C914" s="7"/>
      <c r="D914" s="5"/>
      <c r="E914" s="7"/>
    </row>
    <row r="915">
      <c r="A915" s="7"/>
      <c r="B915" s="7"/>
      <c r="C915" s="7"/>
      <c r="D915" s="5"/>
      <c r="E915" s="7"/>
    </row>
    <row r="916">
      <c r="A916" s="7"/>
      <c r="B916" s="7"/>
      <c r="C916" s="7"/>
      <c r="D916" s="5"/>
      <c r="E916" s="7"/>
    </row>
    <row r="917">
      <c r="A917" s="7"/>
      <c r="B917" s="7"/>
      <c r="C917" s="7"/>
      <c r="D917" s="5"/>
      <c r="E917" s="7"/>
    </row>
    <row r="918">
      <c r="A918" s="7"/>
      <c r="B918" s="7"/>
      <c r="C918" s="7"/>
      <c r="D918" s="5"/>
      <c r="E918" s="7"/>
    </row>
    <row r="919">
      <c r="A919" s="7"/>
      <c r="B919" s="7"/>
      <c r="C919" s="7"/>
      <c r="D919" s="5"/>
      <c r="E919" s="7"/>
    </row>
    <row r="920">
      <c r="A920" s="7"/>
      <c r="B920" s="7"/>
      <c r="C920" s="7"/>
      <c r="D920" s="5"/>
      <c r="E920" s="7"/>
    </row>
    <row r="921">
      <c r="A921" s="7"/>
      <c r="B921" s="7"/>
      <c r="C921" s="7"/>
      <c r="D921" s="5"/>
      <c r="E921" s="7"/>
    </row>
    <row r="922">
      <c r="A922" s="7"/>
      <c r="B922" s="7"/>
      <c r="C922" s="7"/>
      <c r="D922" s="5"/>
      <c r="E922" s="7"/>
    </row>
    <row r="923">
      <c r="A923" s="7"/>
      <c r="B923" s="7"/>
      <c r="C923" s="7"/>
      <c r="D923" s="5"/>
      <c r="E923" s="7"/>
    </row>
    <row r="924">
      <c r="A924" s="7"/>
      <c r="B924" s="7"/>
      <c r="C924" s="7"/>
      <c r="D924" s="5"/>
      <c r="E924" s="7"/>
    </row>
    <row r="925">
      <c r="A925" s="7"/>
      <c r="B925" s="7"/>
      <c r="C925" s="7"/>
      <c r="D925" s="5"/>
      <c r="E925" s="7"/>
    </row>
    <row r="926">
      <c r="A926" s="7"/>
      <c r="B926" s="7"/>
      <c r="C926" s="7"/>
      <c r="D926" s="5"/>
      <c r="E926" s="7"/>
    </row>
    <row r="927">
      <c r="A927" s="7"/>
      <c r="B927" s="7"/>
      <c r="C927" s="7"/>
      <c r="D927" s="5"/>
      <c r="E927" s="7"/>
    </row>
    <row r="928">
      <c r="A928" s="7"/>
      <c r="B928" s="7"/>
      <c r="C928" s="7"/>
      <c r="D928" s="5"/>
      <c r="E928" s="7"/>
    </row>
    <row r="929">
      <c r="A929" s="7"/>
      <c r="B929" s="7"/>
      <c r="C929" s="7"/>
      <c r="D929" s="5"/>
      <c r="E929" s="7"/>
    </row>
    <row r="930">
      <c r="A930" s="7"/>
      <c r="B930" s="7"/>
      <c r="C930" s="7"/>
      <c r="D930" s="5"/>
      <c r="E930" s="7"/>
    </row>
    <row r="931">
      <c r="A931" s="7"/>
      <c r="B931" s="7"/>
      <c r="C931" s="7"/>
      <c r="D931" s="5"/>
      <c r="E931" s="7"/>
    </row>
    <row r="932">
      <c r="A932" s="7"/>
      <c r="B932" s="7"/>
      <c r="C932" s="7"/>
      <c r="D932" s="5"/>
      <c r="E932" s="7"/>
    </row>
    <row r="933">
      <c r="A933" s="7"/>
      <c r="B933" s="7"/>
      <c r="C933" s="7"/>
      <c r="D933" s="5"/>
      <c r="E933" s="7"/>
    </row>
    <row r="934">
      <c r="A934" s="7"/>
      <c r="B934" s="7"/>
      <c r="C934" s="7"/>
      <c r="D934" s="5"/>
      <c r="E934" s="7"/>
    </row>
    <row r="935">
      <c r="A935" s="7"/>
      <c r="B935" s="7"/>
      <c r="C935" s="7"/>
      <c r="D935" s="5"/>
      <c r="E935" s="7"/>
    </row>
    <row r="936">
      <c r="A936" s="7"/>
      <c r="B936" s="7"/>
      <c r="C936" s="7"/>
      <c r="D936" s="5"/>
      <c r="E936" s="7"/>
    </row>
    <row r="937">
      <c r="A937" s="7"/>
      <c r="B937" s="7"/>
      <c r="C937" s="7"/>
      <c r="D937" s="5"/>
      <c r="E937" s="7"/>
    </row>
    <row r="938">
      <c r="A938" s="7"/>
      <c r="B938" s="7"/>
      <c r="C938" s="7"/>
      <c r="D938" s="5"/>
      <c r="E938" s="7"/>
    </row>
    <row r="939">
      <c r="A939" s="7"/>
      <c r="B939" s="7"/>
      <c r="C939" s="7"/>
      <c r="D939" s="5"/>
      <c r="E939" s="7"/>
    </row>
    <row r="940">
      <c r="A940" s="7"/>
      <c r="B940" s="7"/>
      <c r="C940" s="7"/>
      <c r="D940" s="5"/>
      <c r="E940" s="7"/>
    </row>
    <row r="941">
      <c r="A941" s="7"/>
      <c r="B941" s="7"/>
      <c r="C941" s="7"/>
      <c r="D941" s="5"/>
      <c r="E941" s="7"/>
    </row>
    <row r="942">
      <c r="A942" s="7"/>
      <c r="B942" s="7"/>
      <c r="C942" s="7"/>
      <c r="D942" s="5"/>
      <c r="E942" s="7"/>
    </row>
    <row r="943">
      <c r="A943" s="7"/>
      <c r="B943" s="7"/>
      <c r="C943" s="7"/>
      <c r="D943" s="5"/>
      <c r="E943" s="7"/>
    </row>
    <row r="944">
      <c r="A944" s="7"/>
      <c r="B944" s="7"/>
      <c r="C944" s="7"/>
      <c r="D944" s="5"/>
      <c r="E944" s="7"/>
    </row>
    <row r="945">
      <c r="A945" s="7"/>
      <c r="B945" s="7"/>
      <c r="C945" s="7"/>
      <c r="D945" s="5"/>
      <c r="E945" s="7"/>
    </row>
    <row r="946">
      <c r="A946" s="7"/>
      <c r="B946" s="7"/>
      <c r="C946" s="7"/>
      <c r="D946" s="5"/>
      <c r="E946" s="7"/>
    </row>
    <row r="947">
      <c r="A947" s="7"/>
      <c r="B947" s="7"/>
      <c r="C947" s="7"/>
      <c r="D947" s="5"/>
      <c r="E947" s="7"/>
    </row>
    <row r="948">
      <c r="A948" s="7"/>
      <c r="B948" s="7"/>
      <c r="C948" s="7"/>
      <c r="D948" s="5"/>
      <c r="E948" s="7"/>
    </row>
    <row r="949">
      <c r="A949" s="7"/>
      <c r="B949" s="7"/>
      <c r="C949" s="7"/>
      <c r="D949" s="5"/>
      <c r="E949" s="7"/>
    </row>
    <row r="950">
      <c r="A950" s="7"/>
      <c r="B950" s="7"/>
      <c r="C950" s="7"/>
      <c r="D950" s="5"/>
      <c r="E950" s="7"/>
    </row>
    <row r="951">
      <c r="A951" s="7"/>
      <c r="B951" s="7"/>
      <c r="C951" s="7"/>
      <c r="D951" s="5"/>
      <c r="E951" s="7"/>
    </row>
    <row r="952">
      <c r="A952" s="7"/>
      <c r="B952" s="7"/>
      <c r="C952" s="7"/>
      <c r="D952" s="5"/>
      <c r="E952" s="7"/>
    </row>
    <row r="953">
      <c r="A953" s="7"/>
      <c r="B953" s="7"/>
      <c r="C953" s="7"/>
      <c r="D953" s="5"/>
      <c r="E953" s="7"/>
    </row>
    <row r="954">
      <c r="A954" s="7"/>
      <c r="B954" s="7"/>
      <c r="C954" s="7"/>
      <c r="D954" s="5"/>
      <c r="E954" s="7"/>
    </row>
    <row r="955">
      <c r="A955" s="7"/>
      <c r="B955" s="7"/>
      <c r="C955" s="7"/>
      <c r="D955" s="5"/>
      <c r="E955" s="7"/>
    </row>
    <row r="956">
      <c r="A956" s="7"/>
      <c r="B956" s="7"/>
      <c r="C956" s="7"/>
      <c r="D956" s="5"/>
      <c r="E956" s="7"/>
    </row>
    <row r="957">
      <c r="A957" s="7"/>
      <c r="B957" s="7"/>
      <c r="C957" s="7"/>
      <c r="D957" s="5"/>
      <c r="E957" s="7"/>
    </row>
    <row r="958">
      <c r="A958" s="7"/>
      <c r="B958" s="7"/>
      <c r="C958" s="7"/>
      <c r="D958" s="5"/>
      <c r="E958" s="7"/>
    </row>
    <row r="959">
      <c r="A959" s="7"/>
      <c r="B959" s="7"/>
      <c r="C959" s="7"/>
      <c r="D959" s="5"/>
      <c r="E959" s="7"/>
    </row>
    <row r="960">
      <c r="A960" s="7"/>
      <c r="B960" s="7"/>
      <c r="C960" s="7"/>
      <c r="D960" s="5"/>
      <c r="E960" s="7"/>
    </row>
    <row r="961">
      <c r="A961" s="7"/>
      <c r="B961" s="7"/>
      <c r="C961" s="7"/>
      <c r="D961" s="5"/>
      <c r="E961" s="7"/>
    </row>
    <row r="962">
      <c r="A962" s="7"/>
      <c r="B962" s="7"/>
      <c r="C962" s="7"/>
      <c r="D962" s="5"/>
      <c r="E962" s="7"/>
    </row>
    <row r="963">
      <c r="A963" s="7"/>
      <c r="B963" s="7"/>
      <c r="C963" s="7"/>
      <c r="D963" s="5"/>
      <c r="E963" s="7"/>
    </row>
    <row r="964">
      <c r="A964" s="7"/>
      <c r="B964" s="7"/>
      <c r="C964" s="7"/>
      <c r="D964" s="5"/>
      <c r="E964" s="7"/>
    </row>
    <row r="965">
      <c r="A965" s="7"/>
      <c r="B965" s="7"/>
      <c r="C965" s="7"/>
      <c r="D965" s="5"/>
      <c r="E965" s="7"/>
    </row>
    <row r="966">
      <c r="A966" s="7"/>
      <c r="B966" s="7"/>
      <c r="C966" s="7"/>
      <c r="D966" s="5"/>
      <c r="E966" s="7"/>
    </row>
    <row r="967">
      <c r="A967" s="7"/>
      <c r="B967" s="7"/>
      <c r="C967" s="7"/>
      <c r="D967" s="5"/>
      <c r="E967" s="7"/>
    </row>
    <row r="968">
      <c r="A968" s="7"/>
      <c r="B968" s="7"/>
      <c r="C968" s="7"/>
      <c r="D968" s="5"/>
      <c r="E968" s="7"/>
    </row>
    <row r="969">
      <c r="A969" s="7"/>
      <c r="B969" s="7"/>
      <c r="C969" s="7"/>
      <c r="D969" s="5"/>
      <c r="E969" s="7"/>
    </row>
    <row r="970">
      <c r="A970" s="7"/>
      <c r="B970" s="7"/>
      <c r="C970" s="7"/>
      <c r="D970" s="5"/>
      <c r="E970" s="7"/>
    </row>
    <row r="971">
      <c r="A971" s="7"/>
      <c r="B971" s="7"/>
      <c r="C971" s="7"/>
      <c r="D971" s="5"/>
      <c r="E971" s="7"/>
    </row>
    <row r="972">
      <c r="A972" s="7"/>
      <c r="B972" s="7"/>
      <c r="C972" s="7"/>
      <c r="D972" s="5"/>
      <c r="E972" s="7"/>
    </row>
    <row r="973">
      <c r="A973" s="7"/>
      <c r="B973" s="7"/>
      <c r="C973" s="7"/>
      <c r="D973" s="5"/>
      <c r="E973" s="7"/>
    </row>
    <row r="974">
      <c r="A974" s="7"/>
      <c r="B974" s="7"/>
      <c r="C974" s="7"/>
      <c r="D974" s="5"/>
      <c r="E974" s="7"/>
    </row>
    <row r="975">
      <c r="A975" s="7"/>
      <c r="B975" s="7"/>
      <c r="C975" s="7"/>
      <c r="D975" s="5"/>
      <c r="E975" s="7"/>
    </row>
    <row r="976">
      <c r="A976" s="7"/>
      <c r="B976" s="7"/>
      <c r="C976" s="7"/>
      <c r="D976" s="5"/>
      <c r="E976" s="7"/>
    </row>
    <row r="977">
      <c r="A977" s="7"/>
      <c r="B977" s="7"/>
      <c r="C977" s="7"/>
      <c r="D977" s="5"/>
      <c r="E977" s="7"/>
    </row>
    <row r="978">
      <c r="A978" s="7"/>
      <c r="B978" s="7"/>
      <c r="C978" s="7"/>
      <c r="D978" s="5"/>
      <c r="E978" s="7"/>
    </row>
    <row r="979">
      <c r="A979" s="7"/>
      <c r="B979" s="7"/>
      <c r="C979" s="7"/>
      <c r="D979" s="5"/>
      <c r="E979" s="7"/>
    </row>
    <row r="980">
      <c r="A980" s="7"/>
      <c r="B980" s="7"/>
      <c r="C980" s="7"/>
      <c r="D980" s="5"/>
      <c r="E980" s="7"/>
    </row>
    <row r="981">
      <c r="A981" s="7"/>
      <c r="B981" s="7"/>
      <c r="C981" s="7"/>
      <c r="D981" s="5"/>
      <c r="E981" s="7"/>
    </row>
    <row r="982">
      <c r="A982" s="7"/>
      <c r="B982" s="7"/>
      <c r="C982" s="7"/>
      <c r="D982" s="5"/>
      <c r="E982" s="7"/>
    </row>
    <row r="983">
      <c r="A983" s="7"/>
      <c r="B983" s="7"/>
      <c r="C983" s="7"/>
      <c r="D983" s="5"/>
      <c r="E983" s="7"/>
    </row>
    <row r="984">
      <c r="A984" s="7"/>
      <c r="B984" s="7"/>
      <c r="C984" s="7"/>
      <c r="D984" s="5"/>
      <c r="E984" s="7"/>
    </row>
    <row r="985">
      <c r="A985" s="7"/>
      <c r="B985" s="7"/>
      <c r="C985" s="7"/>
      <c r="D985" s="5"/>
      <c r="E985" s="7"/>
    </row>
    <row r="986">
      <c r="A986" s="7"/>
      <c r="B986" s="7"/>
      <c r="C986" s="7"/>
      <c r="D986" s="5"/>
      <c r="E986" s="7"/>
    </row>
    <row r="987">
      <c r="A987" s="7"/>
      <c r="B987" s="7"/>
      <c r="C987" s="7"/>
      <c r="D987" s="5"/>
      <c r="E987" s="7"/>
    </row>
    <row r="988">
      <c r="A988" s="7"/>
      <c r="B988" s="7"/>
      <c r="C988" s="7"/>
      <c r="D988" s="5"/>
      <c r="E988" s="7"/>
    </row>
    <row r="989">
      <c r="A989" s="7"/>
      <c r="B989" s="7"/>
      <c r="C989" s="7"/>
      <c r="D989" s="5"/>
      <c r="E989" s="7"/>
    </row>
    <row r="990">
      <c r="A990" s="7"/>
      <c r="B990" s="7"/>
      <c r="C990" s="7"/>
      <c r="D990" s="5"/>
      <c r="E990" s="7"/>
    </row>
    <row r="991">
      <c r="A991" s="7"/>
      <c r="B991" s="7"/>
      <c r="C991" s="7"/>
      <c r="D991" s="5"/>
      <c r="E991" s="7"/>
    </row>
    <row r="992">
      <c r="A992" s="7"/>
      <c r="B992" s="7"/>
      <c r="C992" s="7"/>
      <c r="D992" s="5"/>
      <c r="E992" s="7"/>
    </row>
    <row r="993">
      <c r="A993" s="7"/>
      <c r="B993" s="7"/>
      <c r="C993" s="7"/>
      <c r="D993" s="5"/>
      <c r="E993" s="7"/>
    </row>
    <row r="994">
      <c r="A994" s="7"/>
      <c r="B994" s="7"/>
      <c r="C994" s="7"/>
      <c r="D994" s="5"/>
      <c r="E994" s="7"/>
    </row>
    <row r="995">
      <c r="A995" s="7"/>
      <c r="B995" s="7"/>
      <c r="C995" s="7"/>
      <c r="D995" s="5"/>
      <c r="E995" s="7"/>
    </row>
    <row r="996">
      <c r="A996" s="7"/>
      <c r="B996" s="7"/>
      <c r="C996" s="7"/>
      <c r="D996" s="5"/>
      <c r="E996" s="7"/>
    </row>
    <row r="997">
      <c r="A997" s="7"/>
      <c r="B997" s="7"/>
      <c r="C997" s="7"/>
      <c r="D997" s="5"/>
      <c r="E997" s="7"/>
    </row>
    <row r="998">
      <c r="A998" s="7"/>
      <c r="B998" s="7"/>
      <c r="C998" s="7"/>
      <c r="D998" s="5"/>
      <c r="E998" s="7"/>
    </row>
    <row r="999">
      <c r="A999" s="7"/>
      <c r="B999" s="7"/>
      <c r="C999" s="7"/>
      <c r="D999" s="5"/>
      <c r="E999" s="7"/>
    </row>
    <row r="1000">
      <c r="A1000" s="7"/>
      <c r="B1000" s="7"/>
      <c r="C1000" s="7"/>
      <c r="D1000" s="5"/>
      <c r="E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41" width="11.88"/>
  </cols>
  <sheetData>
    <row r="1">
      <c r="A1" s="1" t="s">
        <v>0</v>
      </c>
      <c r="B1" s="1" t="s">
        <v>77</v>
      </c>
    </row>
    <row r="2">
      <c r="B2" s="1" t="s">
        <v>94</v>
      </c>
    </row>
    <row r="3">
      <c r="B3" s="1" t="s">
        <v>99</v>
      </c>
    </row>
    <row r="6">
      <c r="B6" s="6" t="str">
        <f t="array" ref="B6:AO7">VSTACK( TOROW(MAKEARRAY(Names!D2, Names!E2, LAMBDA(r, c, INDEX(Names!D3:D1005, r)))), TOROW(MAKEARRAY(Names!D2, Names!E2, LAMBDA(r, c, INDEX(Names!E3:E1005, c)))) )</f>
        <v>Monday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16</v>
      </c>
      <c r="K6" s="6" t="s">
        <v>16</v>
      </c>
      <c r="L6" s="6" t="s">
        <v>16</v>
      </c>
      <c r="M6" s="6" t="s">
        <v>16</v>
      </c>
      <c r="N6" s="6" t="s">
        <v>16</v>
      </c>
      <c r="O6" s="6" t="s">
        <v>16</v>
      </c>
      <c r="P6" s="6" t="s">
        <v>16</v>
      </c>
      <c r="Q6" s="6" t="s">
        <v>16</v>
      </c>
      <c r="R6" s="6" t="s">
        <v>21</v>
      </c>
      <c r="S6" s="6" t="s">
        <v>21</v>
      </c>
      <c r="T6" s="6" t="s">
        <v>21</v>
      </c>
      <c r="U6" s="6" t="s">
        <v>21</v>
      </c>
      <c r="V6" s="6" t="s">
        <v>21</v>
      </c>
      <c r="W6" s="6" t="s">
        <v>21</v>
      </c>
      <c r="X6" s="6" t="s">
        <v>21</v>
      </c>
      <c r="Y6" s="6" t="s">
        <v>21</v>
      </c>
      <c r="Z6" s="6" t="s">
        <v>26</v>
      </c>
      <c r="AA6" s="6" t="s">
        <v>26</v>
      </c>
      <c r="AB6" s="6" t="s">
        <v>26</v>
      </c>
      <c r="AC6" s="6" t="s">
        <v>26</v>
      </c>
      <c r="AD6" s="6" t="s">
        <v>26</v>
      </c>
      <c r="AE6" s="6" t="s">
        <v>26</v>
      </c>
      <c r="AF6" s="6" t="s">
        <v>26</v>
      </c>
      <c r="AG6" s="6" t="s">
        <v>26</v>
      </c>
      <c r="AH6" s="6" t="s">
        <v>31</v>
      </c>
      <c r="AI6" s="6" t="s">
        <v>31</v>
      </c>
      <c r="AJ6" s="6" t="s">
        <v>31</v>
      </c>
      <c r="AK6" s="6" t="s">
        <v>31</v>
      </c>
      <c r="AL6" s="6" t="s">
        <v>31</v>
      </c>
      <c r="AM6" s="6" t="s">
        <v>31</v>
      </c>
      <c r="AN6" s="6" t="s">
        <v>31</v>
      </c>
      <c r="AO6" s="6" t="s">
        <v>31</v>
      </c>
    </row>
    <row r="7">
      <c r="B7" s="6" t="s">
        <v>12</v>
      </c>
      <c r="C7" s="6" t="s">
        <v>17</v>
      </c>
      <c r="D7" s="6" t="s">
        <v>22</v>
      </c>
      <c r="E7" s="6" t="s">
        <v>27</v>
      </c>
      <c r="F7" s="6" t="s">
        <v>32</v>
      </c>
      <c r="G7" s="6" t="s">
        <v>36</v>
      </c>
      <c r="H7" s="6" t="s">
        <v>40</v>
      </c>
      <c r="I7" s="6" t="s">
        <v>44</v>
      </c>
      <c r="J7" s="6" t="s">
        <v>12</v>
      </c>
      <c r="K7" s="6" t="s">
        <v>17</v>
      </c>
      <c r="L7" s="6" t="s">
        <v>22</v>
      </c>
      <c r="M7" s="6" t="s">
        <v>27</v>
      </c>
      <c r="N7" s="6" t="s">
        <v>32</v>
      </c>
      <c r="O7" s="6" t="s">
        <v>36</v>
      </c>
      <c r="P7" s="6" t="s">
        <v>40</v>
      </c>
      <c r="Q7" s="6" t="s">
        <v>44</v>
      </c>
      <c r="R7" s="6" t="s">
        <v>12</v>
      </c>
      <c r="S7" s="6" t="s">
        <v>17</v>
      </c>
      <c r="T7" s="6" t="s">
        <v>22</v>
      </c>
      <c r="U7" s="6" t="s">
        <v>27</v>
      </c>
      <c r="V7" s="6" t="s">
        <v>32</v>
      </c>
      <c r="W7" s="6" t="s">
        <v>36</v>
      </c>
      <c r="X7" s="6" t="s">
        <v>40</v>
      </c>
      <c r="Y7" s="6" t="s">
        <v>44</v>
      </c>
      <c r="Z7" s="6" t="s">
        <v>12</v>
      </c>
      <c r="AA7" s="6" t="s">
        <v>17</v>
      </c>
      <c r="AB7" s="6" t="s">
        <v>22</v>
      </c>
      <c r="AC7" s="6" t="s">
        <v>27</v>
      </c>
      <c r="AD7" s="6" t="s">
        <v>32</v>
      </c>
      <c r="AE7" s="6" t="s">
        <v>36</v>
      </c>
      <c r="AF7" s="6" t="s">
        <v>40</v>
      </c>
      <c r="AG7" s="6" t="s">
        <v>44</v>
      </c>
      <c r="AH7" s="6" t="s">
        <v>12</v>
      </c>
      <c r="AI7" s="6" t="s">
        <v>17</v>
      </c>
      <c r="AJ7" s="6" t="s">
        <v>22</v>
      </c>
      <c r="AK7" s="6" t="s">
        <v>27</v>
      </c>
      <c r="AL7" s="6" t="s">
        <v>32</v>
      </c>
      <c r="AM7" s="6" t="s">
        <v>36</v>
      </c>
      <c r="AN7" s="6" t="s">
        <v>40</v>
      </c>
      <c r="AO7" s="6" t="s">
        <v>44</v>
      </c>
    </row>
    <row r="8">
      <c r="A8" s="6" t="str">
        <f t="array" ref="A8:A26">UNIQUE(Names!A3:A1005)</f>
        <v>1A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0.0</v>
      </c>
      <c r="H8" s="1">
        <v>0.0</v>
      </c>
      <c r="I8" s="1">
        <v>0.0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2.0</v>
      </c>
      <c r="P8" s="1">
        <v>2.0</v>
      </c>
      <c r="Q8" s="1">
        <v>2.0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0.0</v>
      </c>
      <c r="X8" s="1">
        <v>0.0</v>
      </c>
      <c r="Y8" s="1">
        <v>0.0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3">
        <v>2.0</v>
      </c>
      <c r="AF8" s="13">
        <v>2.0</v>
      </c>
      <c r="AG8" s="13">
        <v>2.0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3">
        <v>2.0</v>
      </c>
      <c r="AN8" s="13">
        <v>2.0</v>
      </c>
      <c r="AO8" s="13">
        <v>2.0</v>
      </c>
    </row>
    <row r="9">
      <c r="A9" s="6" t="s">
        <v>13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0.0</v>
      </c>
      <c r="H9" s="1">
        <v>0.0</v>
      </c>
      <c r="I9" s="1">
        <v>0.0</v>
      </c>
      <c r="J9" s="1">
        <v>1.0</v>
      </c>
      <c r="K9" s="1">
        <v>1.0</v>
      </c>
      <c r="L9" s="1">
        <v>1.0</v>
      </c>
      <c r="M9" s="1">
        <v>1.0</v>
      </c>
      <c r="N9" s="1">
        <v>1.0</v>
      </c>
      <c r="O9" s="1">
        <v>2.0</v>
      </c>
      <c r="P9" s="1">
        <v>2.0</v>
      </c>
      <c r="Q9" s="1">
        <v>2.0</v>
      </c>
      <c r="R9" s="1">
        <v>1.0</v>
      </c>
      <c r="S9" s="1">
        <v>1.0</v>
      </c>
      <c r="T9" s="1">
        <v>1.0</v>
      </c>
      <c r="U9" s="1">
        <v>1.0</v>
      </c>
      <c r="V9" s="1">
        <v>1.0</v>
      </c>
      <c r="W9" s="1">
        <v>0.0</v>
      </c>
      <c r="X9" s="1">
        <v>0.0</v>
      </c>
      <c r="Y9" s="1">
        <v>0.0</v>
      </c>
      <c r="Z9" s="1">
        <v>1.0</v>
      </c>
      <c r="AA9" s="1">
        <v>1.0</v>
      </c>
      <c r="AB9" s="1">
        <v>1.0</v>
      </c>
      <c r="AC9" s="1">
        <v>1.0</v>
      </c>
      <c r="AD9" s="1">
        <v>1.0</v>
      </c>
      <c r="AE9" s="13">
        <v>2.0</v>
      </c>
      <c r="AF9" s="13">
        <v>2.0</v>
      </c>
      <c r="AG9" s="13">
        <v>2.0</v>
      </c>
      <c r="AH9" s="1">
        <v>1.0</v>
      </c>
      <c r="AI9" s="1">
        <v>1.0</v>
      </c>
      <c r="AJ9" s="1">
        <v>1.0</v>
      </c>
      <c r="AK9" s="1">
        <v>1.0</v>
      </c>
      <c r="AL9" s="1">
        <v>1.0</v>
      </c>
      <c r="AM9" s="13">
        <v>2.0</v>
      </c>
      <c r="AN9" s="13">
        <v>2.0</v>
      </c>
      <c r="AO9" s="13">
        <v>2.0</v>
      </c>
    </row>
    <row r="10">
      <c r="A10" s="6" t="s">
        <v>18</v>
      </c>
      <c r="B10" s="1">
        <v>1.0</v>
      </c>
      <c r="C10" s="1">
        <v>1.0</v>
      </c>
      <c r="D10" s="1">
        <v>1.0</v>
      </c>
      <c r="E10" s="1">
        <v>1.0</v>
      </c>
      <c r="F10" s="1">
        <v>1.0</v>
      </c>
      <c r="G10" s="1">
        <v>0.0</v>
      </c>
      <c r="H10" s="1">
        <v>0.0</v>
      </c>
      <c r="I10" s="1">
        <v>0.0</v>
      </c>
      <c r="J10" s="1">
        <v>1.0</v>
      </c>
      <c r="K10" s="1">
        <v>1.0</v>
      </c>
      <c r="L10" s="1">
        <v>1.0</v>
      </c>
      <c r="M10" s="1">
        <v>1.0</v>
      </c>
      <c r="N10" s="1">
        <v>1.0</v>
      </c>
      <c r="O10" s="1">
        <v>2.0</v>
      </c>
      <c r="P10" s="1">
        <v>2.0</v>
      </c>
      <c r="Q10" s="1">
        <v>2.0</v>
      </c>
      <c r="R10" s="1">
        <v>1.0</v>
      </c>
      <c r="S10" s="1">
        <v>1.0</v>
      </c>
      <c r="T10" s="1">
        <v>1.0</v>
      </c>
      <c r="U10" s="1">
        <v>1.0</v>
      </c>
      <c r="V10" s="1">
        <v>1.0</v>
      </c>
      <c r="W10" s="1">
        <v>0.0</v>
      </c>
      <c r="X10" s="1">
        <v>0.0</v>
      </c>
      <c r="Y10" s="1">
        <v>0.0</v>
      </c>
      <c r="Z10" s="1">
        <v>1.0</v>
      </c>
      <c r="AA10" s="1">
        <v>1.0</v>
      </c>
      <c r="AB10" s="1">
        <v>1.0</v>
      </c>
      <c r="AC10" s="1">
        <v>1.0</v>
      </c>
      <c r="AD10" s="1">
        <v>1.0</v>
      </c>
      <c r="AE10" s="13">
        <v>2.0</v>
      </c>
      <c r="AF10" s="13">
        <v>2.0</v>
      </c>
      <c r="AG10" s="13">
        <v>2.0</v>
      </c>
      <c r="AH10" s="1">
        <v>1.0</v>
      </c>
      <c r="AI10" s="1">
        <v>1.0</v>
      </c>
      <c r="AJ10" s="1">
        <v>1.0</v>
      </c>
      <c r="AK10" s="1">
        <v>1.0</v>
      </c>
      <c r="AL10" s="1">
        <v>1.0</v>
      </c>
      <c r="AM10" s="13">
        <v>2.0</v>
      </c>
      <c r="AN10" s="13">
        <v>2.0</v>
      </c>
      <c r="AO10" s="13">
        <v>2.0</v>
      </c>
    </row>
    <row r="11">
      <c r="A11" s="6" t="s">
        <v>23</v>
      </c>
      <c r="B11" s="1">
        <v>1.0</v>
      </c>
      <c r="C11" s="1">
        <v>1.0</v>
      </c>
      <c r="D11" s="1">
        <v>1.0</v>
      </c>
      <c r="E11" s="1">
        <v>1.0</v>
      </c>
      <c r="F11" s="1">
        <v>1.0</v>
      </c>
      <c r="G11" s="1">
        <v>0.0</v>
      </c>
      <c r="H11" s="1">
        <v>0.0</v>
      </c>
      <c r="I11" s="1">
        <v>0.0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2.0</v>
      </c>
      <c r="P11" s="1">
        <v>2.0</v>
      </c>
      <c r="Q11" s="1">
        <v>2.0</v>
      </c>
      <c r="R11" s="1">
        <v>1.0</v>
      </c>
      <c r="S11" s="1">
        <v>1.0</v>
      </c>
      <c r="T11" s="1">
        <v>1.0</v>
      </c>
      <c r="U11" s="1">
        <v>1.0</v>
      </c>
      <c r="V11" s="1">
        <v>1.0</v>
      </c>
      <c r="W11" s="1">
        <v>0.0</v>
      </c>
      <c r="X11" s="1">
        <v>0.0</v>
      </c>
      <c r="Y11" s="1">
        <v>0.0</v>
      </c>
      <c r="Z11" s="1">
        <v>1.0</v>
      </c>
      <c r="AA11" s="1">
        <v>1.0</v>
      </c>
      <c r="AB11" s="1">
        <v>1.0</v>
      </c>
      <c r="AC11" s="1">
        <v>1.0</v>
      </c>
      <c r="AD11" s="1">
        <v>1.0</v>
      </c>
      <c r="AE11" s="13">
        <v>2.0</v>
      </c>
      <c r="AF11" s="13">
        <v>2.0</v>
      </c>
      <c r="AG11" s="13">
        <v>2.0</v>
      </c>
      <c r="AH11" s="1">
        <v>1.0</v>
      </c>
      <c r="AI11" s="1">
        <v>1.0</v>
      </c>
      <c r="AJ11" s="1">
        <v>1.0</v>
      </c>
      <c r="AK11" s="1">
        <v>1.0</v>
      </c>
      <c r="AL11" s="1">
        <v>1.0</v>
      </c>
      <c r="AM11" s="13">
        <v>2.0</v>
      </c>
      <c r="AN11" s="13">
        <v>2.0</v>
      </c>
      <c r="AO11" s="13">
        <v>2.0</v>
      </c>
    </row>
    <row r="12">
      <c r="A12" s="6" t="s">
        <v>28</v>
      </c>
      <c r="B12" s="1">
        <v>1.0</v>
      </c>
      <c r="C12" s="1">
        <v>1.0</v>
      </c>
      <c r="D12" s="1">
        <v>1.0</v>
      </c>
      <c r="E12" s="1">
        <v>1.0</v>
      </c>
      <c r="F12" s="1">
        <v>1.0</v>
      </c>
      <c r="G12" s="1">
        <v>0.0</v>
      </c>
      <c r="H12" s="1">
        <v>0.0</v>
      </c>
      <c r="I12" s="1">
        <v>0.0</v>
      </c>
      <c r="J12" s="1">
        <v>1.0</v>
      </c>
      <c r="K12" s="1">
        <v>1.0</v>
      </c>
      <c r="L12" s="1">
        <v>1.0</v>
      </c>
      <c r="M12" s="1">
        <v>1.0</v>
      </c>
      <c r="N12" s="1">
        <v>1.0</v>
      </c>
      <c r="O12" s="1">
        <v>2.0</v>
      </c>
      <c r="P12" s="1">
        <v>2.0</v>
      </c>
      <c r="Q12" s="1">
        <v>2.0</v>
      </c>
      <c r="R12" s="1">
        <v>1.0</v>
      </c>
      <c r="S12" s="1">
        <v>1.0</v>
      </c>
      <c r="T12" s="1">
        <v>1.0</v>
      </c>
      <c r="U12" s="1">
        <v>1.0</v>
      </c>
      <c r="V12" s="1">
        <v>1.0</v>
      </c>
      <c r="W12" s="1">
        <v>0.0</v>
      </c>
      <c r="X12" s="1">
        <v>0.0</v>
      </c>
      <c r="Y12" s="1">
        <v>0.0</v>
      </c>
      <c r="Z12" s="1">
        <v>1.0</v>
      </c>
      <c r="AA12" s="1">
        <v>1.0</v>
      </c>
      <c r="AB12" s="1">
        <v>1.0</v>
      </c>
      <c r="AC12" s="1">
        <v>1.0</v>
      </c>
      <c r="AD12" s="1">
        <v>1.0</v>
      </c>
      <c r="AE12" s="13">
        <v>2.0</v>
      </c>
      <c r="AF12" s="13">
        <v>2.0</v>
      </c>
      <c r="AG12" s="13">
        <v>2.0</v>
      </c>
      <c r="AH12" s="1">
        <v>1.0</v>
      </c>
      <c r="AI12" s="1">
        <v>1.0</v>
      </c>
      <c r="AJ12" s="1">
        <v>1.0</v>
      </c>
      <c r="AK12" s="1">
        <v>1.0</v>
      </c>
      <c r="AL12" s="1">
        <v>1.0</v>
      </c>
      <c r="AM12" s="13">
        <v>2.0</v>
      </c>
      <c r="AN12" s="13">
        <v>2.0</v>
      </c>
      <c r="AO12" s="13">
        <v>2.0</v>
      </c>
    </row>
    <row r="13">
      <c r="A13" s="6" t="s">
        <v>33</v>
      </c>
      <c r="B13" s="1">
        <v>1.0</v>
      </c>
      <c r="C13" s="1">
        <v>1.0</v>
      </c>
      <c r="D13" s="1">
        <v>1.0</v>
      </c>
      <c r="E13" s="1">
        <v>1.0</v>
      </c>
      <c r="F13" s="1">
        <v>1.0</v>
      </c>
      <c r="G13" s="1">
        <v>0.0</v>
      </c>
      <c r="H13" s="1">
        <v>0.0</v>
      </c>
      <c r="I13" s="1">
        <v>0.0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2.0</v>
      </c>
      <c r="P13" s="1">
        <v>2.0</v>
      </c>
      <c r="Q13" s="1">
        <v>2.0</v>
      </c>
      <c r="R13" s="1">
        <v>1.0</v>
      </c>
      <c r="S13" s="1">
        <v>1.0</v>
      </c>
      <c r="T13" s="1">
        <v>1.0</v>
      </c>
      <c r="U13" s="1">
        <v>1.0</v>
      </c>
      <c r="V13" s="1">
        <v>1.0</v>
      </c>
      <c r="W13" s="1">
        <v>0.0</v>
      </c>
      <c r="X13" s="1">
        <v>0.0</v>
      </c>
      <c r="Y13" s="1">
        <v>0.0</v>
      </c>
      <c r="Z13" s="1">
        <v>1.0</v>
      </c>
      <c r="AA13" s="1">
        <v>1.0</v>
      </c>
      <c r="AB13" s="1">
        <v>1.0</v>
      </c>
      <c r="AC13" s="1">
        <v>1.0</v>
      </c>
      <c r="AD13" s="1">
        <v>1.0</v>
      </c>
      <c r="AE13" s="13">
        <v>2.0</v>
      </c>
      <c r="AF13" s="13">
        <v>2.0</v>
      </c>
      <c r="AG13" s="13">
        <v>2.0</v>
      </c>
      <c r="AH13" s="1">
        <v>1.0</v>
      </c>
      <c r="AI13" s="1">
        <v>1.0</v>
      </c>
      <c r="AJ13" s="1">
        <v>1.0</v>
      </c>
      <c r="AK13" s="1">
        <v>1.0</v>
      </c>
      <c r="AL13" s="1">
        <v>1.0</v>
      </c>
      <c r="AM13" s="13">
        <v>2.0</v>
      </c>
      <c r="AN13" s="13">
        <v>2.0</v>
      </c>
      <c r="AO13" s="13">
        <v>2.0</v>
      </c>
    </row>
    <row r="14">
      <c r="A14" s="6" t="s">
        <v>37</v>
      </c>
      <c r="B14" s="1">
        <v>1.0</v>
      </c>
      <c r="C14" s="1">
        <v>1.0</v>
      </c>
      <c r="D14" s="1">
        <v>1.0</v>
      </c>
      <c r="E14" s="1">
        <v>1.0</v>
      </c>
      <c r="F14" s="1">
        <v>1.0</v>
      </c>
      <c r="G14" s="1">
        <v>0.0</v>
      </c>
      <c r="H14" s="1">
        <v>0.0</v>
      </c>
      <c r="I14" s="1">
        <v>0.0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  <c r="O14" s="1">
        <v>2.0</v>
      </c>
      <c r="P14" s="1">
        <v>2.0</v>
      </c>
      <c r="Q14" s="1">
        <v>2.0</v>
      </c>
      <c r="R14" s="1">
        <v>1.0</v>
      </c>
      <c r="S14" s="1">
        <v>1.0</v>
      </c>
      <c r="T14" s="1">
        <v>1.0</v>
      </c>
      <c r="U14" s="1">
        <v>1.0</v>
      </c>
      <c r="V14" s="1">
        <v>1.0</v>
      </c>
      <c r="W14" s="1">
        <v>0.0</v>
      </c>
      <c r="X14" s="1">
        <v>0.0</v>
      </c>
      <c r="Y14" s="1">
        <v>0.0</v>
      </c>
      <c r="Z14" s="1">
        <v>1.0</v>
      </c>
      <c r="AA14" s="1">
        <v>1.0</v>
      </c>
      <c r="AB14" s="1">
        <v>1.0</v>
      </c>
      <c r="AC14" s="1">
        <v>1.0</v>
      </c>
      <c r="AD14" s="1">
        <v>1.0</v>
      </c>
      <c r="AE14" s="13">
        <v>2.0</v>
      </c>
      <c r="AF14" s="13">
        <v>2.0</v>
      </c>
      <c r="AG14" s="13">
        <v>2.0</v>
      </c>
      <c r="AH14" s="1">
        <v>1.0</v>
      </c>
      <c r="AI14" s="1">
        <v>1.0</v>
      </c>
      <c r="AJ14" s="1">
        <v>1.0</v>
      </c>
      <c r="AK14" s="1">
        <v>1.0</v>
      </c>
      <c r="AL14" s="1">
        <v>1.0</v>
      </c>
      <c r="AM14" s="13">
        <v>2.0</v>
      </c>
      <c r="AN14" s="13">
        <v>2.0</v>
      </c>
      <c r="AO14" s="13">
        <v>2.0</v>
      </c>
    </row>
    <row r="15">
      <c r="A15" s="6" t="s">
        <v>41</v>
      </c>
      <c r="B15" s="1">
        <v>1.0</v>
      </c>
      <c r="C15" s="1">
        <v>1.0</v>
      </c>
      <c r="D15" s="1">
        <v>1.0</v>
      </c>
      <c r="E15" s="1">
        <v>1.0</v>
      </c>
      <c r="F15" s="1">
        <v>1.0</v>
      </c>
      <c r="G15" s="1">
        <v>0.0</v>
      </c>
      <c r="H15" s="1">
        <v>0.0</v>
      </c>
      <c r="I15" s="1">
        <v>0.0</v>
      </c>
      <c r="J15" s="1">
        <v>1.0</v>
      </c>
      <c r="K15" s="1">
        <v>1.0</v>
      </c>
      <c r="L15" s="1">
        <v>1.0</v>
      </c>
      <c r="M15" s="1">
        <v>1.0</v>
      </c>
      <c r="N15" s="1">
        <v>1.0</v>
      </c>
      <c r="O15" s="1">
        <v>2.0</v>
      </c>
      <c r="P15" s="1">
        <v>2.0</v>
      </c>
      <c r="Q15" s="1">
        <v>2.0</v>
      </c>
      <c r="R15" s="1">
        <v>1.0</v>
      </c>
      <c r="S15" s="1">
        <v>1.0</v>
      </c>
      <c r="T15" s="1">
        <v>1.0</v>
      </c>
      <c r="U15" s="1">
        <v>1.0</v>
      </c>
      <c r="V15" s="1">
        <v>1.0</v>
      </c>
      <c r="W15" s="1">
        <v>0.0</v>
      </c>
      <c r="X15" s="1">
        <v>0.0</v>
      </c>
      <c r="Y15" s="1">
        <v>0.0</v>
      </c>
      <c r="Z15" s="1">
        <v>1.0</v>
      </c>
      <c r="AA15" s="1">
        <v>1.0</v>
      </c>
      <c r="AB15" s="1">
        <v>1.0</v>
      </c>
      <c r="AC15" s="1">
        <v>1.0</v>
      </c>
      <c r="AD15" s="1">
        <v>1.0</v>
      </c>
      <c r="AE15" s="13">
        <v>2.0</v>
      </c>
      <c r="AF15" s="13">
        <v>2.0</v>
      </c>
      <c r="AG15" s="13">
        <v>2.0</v>
      </c>
      <c r="AH15" s="1">
        <v>1.0</v>
      </c>
      <c r="AI15" s="1">
        <v>1.0</v>
      </c>
      <c r="AJ15" s="1">
        <v>1.0</v>
      </c>
      <c r="AK15" s="1">
        <v>1.0</v>
      </c>
      <c r="AL15" s="1">
        <v>1.0</v>
      </c>
      <c r="AM15" s="13">
        <v>2.0</v>
      </c>
      <c r="AN15" s="13">
        <v>2.0</v>
      </c>
      <c r="AO15" s="13">
        <v>2.0</v>
      </c>
    </row>
    <row r="16">
      <c r="A16" s="6" t="s">
        <v>45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0.0</v>
      </c>
      <c r="H16" s="1">
        <v>0.0</v>
      </c>
      <c r="I16" s="1">
        <v>0.0</v>
      </c>
      <c r="J16" s="1">
        <v>1.0</v>
      </c>
      <c r="K16" s="1">
        <v>1.0</v>
      </c>
      <c r="L16" s="1">
        <v>1.0</v>
      </c>
      <c r="M16" s="1">
        <v>1.0</v>
      </c>
      <c r="N16" s="1">
        <v>1.0</v>
      </c>
      <c r="O16" s="1">
        <v>2.0</v>
      </c>
      <c r="P16" s="1">
        <v>2.0</v>
      </c>
      <c r="Q16" s="1">
        <v>2.0</v>
      </c>
      <c r="R16" s="1">
        <v>1.0</v>
      </c>
      <c r="S16" s="1">
        <v>1.0</v>
      </c>
      <c r="T16" s="1">
        <v>1.0</v>
      </c>
      <c r="U16" s="1">
        <v>1.0</v>
      </c>
      <c r="V16" s="1">
        <v>1.0</v>
      </c>
      <c r="W16" s="1">
        <v>0.0</v>
      </c>
      <c r="X16" s="1">
        <v>0.0</v>
      </c>
      <c r="Y16" s="1">
        <v>0.0</v>
      </c>
      <c r="Z16" s="1">
        <v>1.0</v>
      </c>
      <c r="AA16" s="1">
        <v>1.0</v>
      </c>
      <c r="AB16" s="1">
        <v>1.0</v>
      </c>
      <c r="AC16" s="1">
        <v>1.0</v>
      </c>
      <c r="AD16" s="1">
        <v>1.0</v>
      </c>
      <c r="AE16" s="13">
        <v>2.0</v>
      </c>
      <c r="AF16" s="13">
        <v>2.0</v>
      </c>
      <c r="AG16" s="13">
        <v>2.0</v>
      </c>
      <c r="AH16" s="1">
        <v>1.0</v>
      </c>
      <c r="AI16" s="1">
        <v>1.0</v>
      </c>
      <c r="AJ16" s="1">
        <v>1.0</v>
      </c>
      <c r="AK16" s="1">
        <v>1.0</v>
      </c>
      <c r="AL16" s="1">
        <v>1.0</v>
      </c>
      <c r="AM16" s="13">
        <v>2.0</v>
      </c>
      <c r="AN16" s="13">
        <v>2.0</v>
      </c>
      <c r="AO16" s="13">
        <v>2.0</v>
      </c>
    </row>
    <row r="17">
      <c r="A17" s="6" t="s">
        <v>48</v>
      </c>
      <c r="B17" s="1">
        <v>1.0</v>
      </c>
      <c r="C17" s="1">
        <v>1.0</v>
      </c>
      <c r="D17" s="1">
        <v>1.0</v>
      </c>
      <c r="E17" s="1">
        <v>1.0</v>
      </c>
      <c r="F17" s="1">
        <v>1.0</v>
      </c>
      <c r="G17" s="1">
        <v>1.0</v>
      </c>
      <c r="H17" s="1">
        <v>0.0</v>
      </c>
      <c r="I17" s="1">
        <v>0.0</v>
      </c>
      <c r="J17" s="1">
        <v>1.0</v>
      </c>
      <c r="K17" s="1">
        <v>1.0</v>
      </c>
      <c r="L17" s="1">
        <v>1.0</v>
      </c>
      <c r="M17" s="1">
        <v>1.0</v>
      </c>
      <c r="N17" s="1">
        <v>1.0</v>
      </c>
      <c r="O17" s="1">
        <v>2.0</v>
      </c>
      <c r="P17" s="1">
        <v>2.0</v>
      </c>
      <c r="Q17" s="1">
        <v>2.0</v>
      </c>
      <c r="R17" s="1">
        <v>1.0</v>
      </c>
      <c r="S17" s="1">
        <v>1.0</v>
      </c>
      <c r="T17" s="1">
        <v>1.0</v>
      </c>
      <c r="U17" s="1">
        <v>1.0</v>
      </c>
      <c r="V17" s="1">
        <v>1.0</v>
      </c>
      <c r="W17" s="1">
        <v>1.0</v>
      </c>
      <c r="X17" s="1">
        <v>0.0</v>
      </c>
      <c r="Y17" s="1">
        <v>0.0</v>
      </c>
      <c r="Z17" s="1">
        <v>1.0</v>
      </c>
      <c r="AA17" s="1">
        <v>1.0</v>
      </c>
      <c r="AB17" s="1">
        <v>1.0</v>
      </c>
      <c r="AC17" s="1">
        <v>1.0</v>
      </c>
      <c r="AD17" s="1">
        <v>1.0</v>
      </c>
      <c r="AE17" s="1">
        <v>2.0</v>
      </c>
      <c r="AF17" s="1">
        <v>2.0</v>
      </c>
      <c r="AG17" s="1">
        <v>2.0</v>
      </c>
      <c r="AH17" s="1">
        <v>1.0</v>
      </c>
      <c r="AI17" s="1">
        <v>1.0</v>
      </c>
      <c r="AJ17" s="1">
        <v>1.0</v>
      </c>
      <c r="AK17" s="1">
        <v>1.0</v>
      </c>
      <c r="AL17" s="1">
        <v>1.0</v>
      </c>
      <c r="AM17" s="1">
        <v>2.0</v>
      </c>
      <c r="AN17" s="1">
        <v>2.0</v>
      </c>
      <c r="AO17" s="1">
        <v>2.0</v>
      </c>
    </row>
    <row r="18">
      <c r="A18" s="6" t="s">
        <v>51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0.0</v>
      </c>
      <c r="I18" s="1">
        <v>0.0</v>
      </c>
      <c r="J18" s="1">
        <v>1.0</v>
      </c>
      <c r="K18" s="1">
        <v>1.0</v>
      </c>
      <c r="L18" s="1">
        <v>1.0</v>
      </c>
      <c r="M18" s="1">
        <v>1.0</v>
      </c>
      <c r="N18" s="1">
        <v>1.0</v>
      </c>
      <c r="O18" s="1">
        <v>2.0</v>
      </c>
      <c r="P18" s="1">
        <v>2.0</v>
      </c>
      <c r="Q18" s="1">
        <v>2.0</v>
      </c>
      <c r="R18" s="1">
        <v>1.0</v>
      </c>
      <c r="S18" s="1">
        <v>1.0</v>
      </c>
      <c r="T18" s="1">
        <v>1.0</v>
      </c>
      <c r="U18" s="1">
        <v>1.0</v>
      </c>
      <c r="V18" s="1">
        <v>1.0</v>
      </c>
      <c r="W18" s="1">
        <v>1.0</v>
      </c>
      <c r="X18" s="1">
        <v>0.0</v>
      </c>
      <c r="Y18" s="1">
        <v>0.0</v>
      </c>
      <c r="Z18" s="1">
        <v>1.0</v>
      </c>
      <c r="AA18" s="1">
        <v>1.0</v>
      </c>
      <c r="AB18" s="1">
        <v>1.0</v>
      </c>
      <c r="AC18" s="1">
        <v>1.0</v>
      </c>
      <c r="AD18" s="1">
        <v>1.0</v>
      </c>
      <c r="AE18" s="1">
        <v>2.0</v>
      </c>
      <c r="AF18" s="1">
        <v>2.0</v>
      </c>
      <c r="AG18" s="1">
        <v>2.0</v>
      </c>
      <c r="AH18" s="1">
        <v>1.0</v>
      </c>
      <c r="AI18" s="1">
        <v>1.0</v>
      </c>
      <c r="AJ18" s="1">
        <v>1.0</v>
      </c>
      <c r="AK18" s="1">
        <v>1.0</v>
      </c>
      <c r="AL18" s="1">
        <v>1.0</v>
      </c>
      <c r="AM18" s="1">
        <v>2.0</v>
      </c>
      <c r="AN18" s="1">
        <v>2.0</v>
      </c>
      <c r="AO18" s="1">
        <v>2.0</v>
      </c>
    </row>
    <row r="19">
      <c r="A19" s="6" t="s">
        <v>54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  <c r="H19" s="1">
        <v>0.0</v>
      </c>
      <c r="I19" s="1">
        <v>0.0</v>
      </c>
      <c r="J19" s="1">
        <v>1.0</v>
      </c>
      <c r="K19" s="1">
        <v>1.0</v>
      </c>
      <c r="L19" s="1">
        <v>1.0</v>
      </c>
      <c r="M19" s="1">
        <v>1.0</v>
      </c>
      <c r="N19" s="1">
        <v>1.0</v>
      </c>
      <c r="O19" s="1">
        <v>2.0</v>
      </c>
      <c r="P19" s="1">
        <v>2.0</v>
      </c>
      <c r="Q19" s="1">
        <v>2.0</v>
      </c>
      <c r="R19" s="1">
        <v>1.0</v>
      </c>
      <c r="S19" s="1">
        <v>1.0</v>
      </c>
      <c r="T19" s="1">
        <v>1.0</v>
      </c>
      <c r="U19" s="1">
        <v>1.0</v>
      </c>
      <c r="V19" s="1">
        <v>1.0</v>
      </c>
      <c r="W19" s="1">
        <v>1.0</v>
      </c>
      <c r="X19" s="1">
        <v>0.0</v>
      </c>
      <c r="Y19" s="1">
        <v>0.0</v>
      </c>
      <c r="Z19" s="1">
        <v>1.0</v>
      </c>
      <c r="AA19" s="1">
        <v>1.0</v>
      </c>
      <c r="AB19" s="1">
        <v>1.0</v>
      </c>
      <c r="AC19" s="1">
        <v>1.0</v>
      </c>
      <c r="AD19" s="1">
        <v>1.0</v>
      </c>
      <c r="AE19" s="1">
        <v>2.0</v>
      </c>
      <c r="AF19" s="1">
        <v>2.0</v>
      </c>
      <c r="AG19" s="1">
        <v>2.0</v>
      </c>
      <c r="AH19" s="1">
        <v>1.0</v>
      </c>
      <c r="AI19" s="1">
        <v>1.0</v>
      </c>
      <c r="AJ19" s="1">
        <v>1.0</v>
      </c>
      <c r="AK19" s="1">
        <v>1.0</v>
      </c>
      <c r="AL19" s="1">
        <v>1.0</v>
      </c>
      <c r="AM19" s="1">
        <v>2.0</v>
      </c>
      <c r="AN19" s="1">
        <v>2.0</v>
      </c>
      <c r="AO19" s="1">
        <v>2.0</v>
      </c>
    </row>
    <row r="20">
      <c r="A20" s="6" t="s">
        <v>57</v>
      </c>
      <c r="B20" s="1">
        <v>1.0</v>
      </c>
      <c r="C20" s="1">
        <v>1.0</v>
      </c>
      <c r="D20" s="1">
        <v>1.0</v>
      </c>
      <c r="E20" s="1">
        <v>1.0</v>
      </c>
      <c r="F20" s="1">
        <v>1.0</v>
      </c>
      <c r="G20" s="1">
        <v>1.0</v>
      </c>
      <c r="H20" s="1">
        <v>0.0</v>
      </c>
      <c r="I20" s="1">
        <v>0.0</v>
      </c>
      <c r="J20" s="1">
        <v>1.0</v>
      </c>
      <c r="K20" s="1">
        <v>1.0</v>
      </c>
      <c r="L20" s="1">
        <v>1.0</v>
      </c>
      <c r="M20" s="1">
        <v>1.0</v>
      </c>
      <c r="N20" s="1">
        <v>1.0</v>
      </c>
      <c r="O20" s="1">
        <v>2.0</v>
      </c>
      <c r="P20" s="1">
        <v>2.0</v>
      </c>
      <c r="Q20" s="1">
        <v>2.0</v>
      </c>
      <c r="R20" s="1">
        <v>1.0</v>
      </c>
      <c r="S20" s="1">
        <v>1.0</v>
      </c>
      <c r="T20" s="1">
        <v>1.0</v>
      </c>
      <c r="U20" s="1">
        <v>1.0</v>
      </c>
      <c r="V20" s="1">
        <v>1.0</v>
      </c>
      <c r="W20" s="1">
        <v>1.0</v>
      </c>
      <c r="X20" s="1">
        <v>0.0</v>
      </c>
      <c r="Y20" s="1">
        <v>0.0</v>
      </c>
      <c r="Z20" s="1">
        <v>1.0</v>
      </c>
      <c r="AA20" s="1">
        <v>1.0</v>
      </c>
      <c r="AB20" s="1">
        <v>1.0</v>
      </c>
      <c r="AC20" s="1">
        <v>1.0</v>
      </c>
      <c r="AD20" s="1">
        <v>1.0</v>
      </c>
      <c r="AE20" s="1">
        <v>2.0</v>
      </c>
      <c r="AF20" s="1">
        <v>2.0</v>
      </c>
      <c r="AG20" s="1">
        <v>2.0</v>
      </c>
      <c r="AH20" s="1">
        <v>1.0</v>
      </c>
      <c r="AI20" s="1">
        <v>1.0</v>
      </c>
      <c r="AJ20" s="1">
        <v>1.0</v>
      </c>
      <c r="AK20" s="1">
        <v>1.0</v>
      </c>
      <c r="AL20" s="1">
        <v>1.0</v>
      </c>
      <c r="AM20" s="1">
        <v>2.0</v>
      </c>
      <c r="AN20" s="1">
        <v>2.0</v>
      </c>
      <c r="AO20" s="1">
        <v>2.0</v>
      </c>
    </row>
    <row r="21">
      <c r="A21" s="6" t="s">
        <v>60</v>
      </c>
      <c r="B21" s="1">
        <v>1.0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1">
        <v>0.0</v>
      </c>
      <c r="I21" s="1">
        <v>0.0</v>
      </c>
      <c r="J21" s="1">
        <v>1.0</v>
      </c>
      <c r="K21" s="1">
        <v>1.0</v>
      </c>
      <c r="L21" s="1">
        <v>1.0</v>
      </c>
      <c r="M21" s="1">
        <v>1.0</v>
      </c>
      <c r="N21" s="1">
        <v>1.0</v>
      </c>
      <c r="O21" s="1">
        <v>2.0</v>
      </c>
      <c r="P21" s="1">
        <v>2.0</v>
      </c>
      <c r="Q21" s="1">
        <v>2.0</v>
      </c>
      <c r="R21" s="1">
        <v>1.0</v>
      </c>
      <c r="S21" s="1">
        <v>1.0</v>
      </c>
      <c r="T21" s="1">
        <v>1.0</v>
      </c>
      <c r="U21" s="1">
        <v>1.0</v>
      </c>
      <c r="V21" s="1">
        <v>1.0</v>
      </c>
      <c r="W21" s="1">
        <v>1.0</v>
      </c>
      <c r="X21" s="1">
        <v>0.0</v>
      </c>
      <c r="Y21" s="1">
        <v>0.0</v>
      </c>
      <c r="Z21" s="1">
        <v>1.0</v>
      </c>
      <c r="AA21" s="1">
        <v>1.0</v>
      </c>
      <c r="AB21" s="1">
        <v>1.0</v>
      </c>
      <c r="AC21" s="1">
        <v>1.0</v>
      </c>
      <c r="AD21" s="1">
        <v>1.0</v>
      </c>
      <c r="AE21" s="1">
        <v>2.0</v>
      </c>
      <c r="AF21" s="1">
        <v>2.0</v>
      </c>
      <c r="AG21" s="1">
        <v>2.0</v>
      </c>
      <c r="AH21" s="1">
        <v>1.0</v>
      </c>
      <c r="AI21" s="1">
        <v>1.0</v>
      </c>
      <c r="AJ21" s="1">
        <v>1.0</v>
      </c>
      <c r="AK21" s="1">
        <v>1.0</v>
      </c>
      <c r="AL21" s="1">
        <v>1.0</v>
      </c>
      <c r="AM21" s="1">
        <v>2.0</v>
      </c>
      <c r="AN21" s="1">
        <v>2.0</v>
      </c>
      <c r="AO21" s="1">
        <v>2.0</v>
      </c>
    </row>
    <row r="22">
      <c r="A22" s="6" t="s">
        <v>63</v>
      </c>
      <c r="B22" s="1">
        <v>1.0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  <c r="H22" s="1">
        <v>0.0</v>
      </c>
      <c r="I22" s="1">
        <v>0.0</v>
      </c>
      <c r="J22" s="1">
        <v>1.0</v>
      </c>
      <c r="K22" s="1">
        <v>1.0</v>
      </c>
      <c r="L22" s="1">
        <v>1.0</v>
      </c>
      <c r="M22" s="1">
        <v>1.0</v>
      </c>
      <c r="N22" s="1">
        <v>1.0</v>
      </c>
      <c r="O22" s="1">
        <v>2.0</v>
      </c>
      <c r="P22" s="1">
        <v>2.0</v>
      </c>
      <c r="Q22" s="1">
        <v>2.0</v>
      </c>
      <c r="R22" s="1">
        <v>1.0</v>
      </c>
      <c r="S22" s="1">
        <v>1.0</v>
      </c>
      <c r="T22" s="1">
        <v>1.0</v>
      </c>
      <c r="U22" s="1">
        <v>1.0</v>
      </c>
      <c r="V22" s="1">
        <v>1.0</v>
      </c>
      <c r="W22" s="1">
        <v>1.0</v>
      </c>
      <c r="X22" s="1">
        <v>0.0</v>
      </c>
      <c r="Y22" s="1">
        <v>0.0</v>
      </c>
      <c r="Z22" s="1">
        <v>1.0</v>
      </c>
      <c r="AA22" s="1">
        <v>1.0</v>
      </c>
      <c r="AB22" s="1">
        <v>1.0</v>
      </c>
      <c r="AC22" s="1">
        <v>1.0</v>
      </c>
      <c r="AD22" s="1">
        <v>1.0</v>
      </c>
      <c r="AE22" s="1">
        <v>2.0</v>
      </c>
      <c r="AF22" s="1">
        <v>2.0</v>
      </c>
      <c r="AG22" s="1">
        <v>2.0</v>
      </c>
      <c r="AH22" s="1">
        <v>1.0</v>
      </c>
      <c r="AI22" s="1">
        <v>1.0</v>
      </c>
      <c r="AJ22" s="1">
        <v>1.0</v>
      </c>
      <c r="AK22" s="1">
        <v>1.0</v>
      </c>
      <c r="AL22" s="1">
        <v>1.0</v>
      </c>
      <c r="AM22" s="1">
        <v>2.0</v>
      </c>
      <c r="AN22" s="1">
        <v>2.0</v>
      </c>
      <c r="AO22" s="1">
        <v>2.0</v>
      </c>
    </row>
    <row r="23">
      <c r="A23" s="6" t="s">
        <v>66</v>
      </c>
      <c r="B23" s="1">
        <v>1.0</v>
      </c>
      <c r="C23" s="1">
        <v>1.0</v>
      </c>
      <c r="D23" s="1">
        <v>1.0</v>
      </c>
      <c r="E23" s="1">
        <v>1.0</v>
      </c>
      <c r="F23" s="1">
        <v>1.0</v>
      </c>
      <c r="G23" s="1">
        <v>1.0</v>
      </c>
      <c r="H23" s="1">
        <v>0.0</v>
      </c>
      <c r="I23" s="1">
        <v>0.0</v>
      </c>
      <c r="J23" s="1">
        <v>1.0</v>
      </c>
      <c r="K23" s="1">
        <v>1.0</v>
      </c>
      <c r="L23" s="1">
        <v>1.0</v>
      </c>
      <c r="M23" s="1">
        <v>1.0</v>
      </c>
      <c r="N23" s="1">
        <v>1.0</v>
      </c>
      <c r="O23" s="1">
        <v>2.0</v>
      </c>
      <c r="P23" s="1">
        <v>2.0</v>
      </c>
      <c r="Q23" s="1">
        <v>2.0</v>
      </c>
      <c r="R23" s="1">
        <v>1.0</v>
      </c>
      <c r="S23" s="1">
        <v>1.0</v>
      </c>
      <c r="T23" s="1">
        <v>1.0</v>
      </c>
      <c r="U23" s="1">
        <v>1.0</v>
      </c>
      <c r="V23" s="1">
        <v>1.0</v>
      </c>
      <c r="W23" s="1">
        <v>1.0</v>
      </c>
      <c r="X23" s="1">
        <v>0.0</v>
      </c>
      <c r="Y23" s="1">
        <v>0.0</v>
      </c>
      <c r="Z23" s="1">
        <v>1.0</v>
      </c>
      <c r="AA23" s="1">
        <v>1.0</v>
      </c>
      <c r="AB23" s="1">
        <v>1.0</v>
      </c>
      <c r="AC23" s="1">
        <v>1.0</v>
      </c>
      <c r="AD23" s="1">
        <v>1.0</v>
      </c>
      <c r="AE23" s="1">
        <v>2.0</v>
      </c>
      <c r="AF23" s="1">
        <v>2.0</v>
      </c>
      <c r="AG23" s="1">
        <v>2.0</v>
      </c>
      <c r="AH23" s="1">
        <v>1.0</v>
      </c>
      <c r="AI23" s="1">
        <v>1.0</v>
      </c>
      <c r="AJ23" s="1">
        <v>1.0</v>
      </c>
      <c r="AK23" s="1">
        <v>1.0</v>
      </c>
      <c r="AL23" s="1">
        <v>1.0</v>
      </c>
      <c r="AM23" s="1">
        <v>2.0</v>
      </c>
      <c r="AN23" s="1">
        <v>2.0</v>
      </c>
      <c r="AO23" s="1">
        <v>2.0</v>
      </c>
    </row>
    <row r="24">
      <c r="A24" s="6" t="s">
        <v>69</v>
      </c>
      <c r="B24" s="1">
        <v>1.0</v>
      </c>
      <c r="C24" s="1">
        <v>1.0</v>
      </c>
      <c r="D24" s="1">
        <v>1.0</v>
      </c>
      <c r="E24" s="1">
        <v>1.0</v>
      </c>
      <c r="F24" s="1">
        <v>1.0</v>
      </c>
      <c r="G24" s="1">
        <v>1.0</v>
      </c>
      <c r="H24" s="1">
        <v>0.0</v>
      </c>
      <c r="I24" s="1">
        <v>0.0</v>
      </c>
      <c r="J24" s="1">
        <v>1.0</v>
      </c>
      <c r="K24" s="1">
        <v>1.0</v>
      </c>
      <c r="L24" s="1">
        <v>1.0</v>
      </c>
      <c r="M24" s="1">
        <v>1.0</v>
      </c>
      <c r="N24" s="1">
        <v>1.0</v>
      </c>
      <c r="O24" s="1">
        <v>2.0</v>
      </c>
      <c r="P24" s="1">
        <v>2.0</v>
      </c>
      <c r="Q24" s="1">
        <v>2.0</v>
      </c>
      <c r="R24" s="1">
        <v>1.0</v>
      </c>
      <c r="S24" s="1">
        <v>1.0</v>
      </c>
      <c r="T24" s="1">
        <v>1.0</v>
      </c>
      <c r="U24" s="1">
        <v>1.0</v>
      </c>
      <c r="V24" s="1">
        <v>1.0</v>
      </c>
      <c r="W24" s="1">
        <v>1.0</v>
      </c>
      <c r="X24" s="1">
        <v>0.0</v>
      </c>
      <c r="Y24" s="1">
        <v>0.0</v>
      </c>
      <c r="Z24" s="1">
        <v>1.0</v>
      </c>
      <c r="AA24" s="1">
        <v>1.0</v>
      </c>
      <c r="AB24" s="1">
        <v>1.0</v>
      </c>
      <c r="AC24" s="1">
        <v>1.0</v>
      </c>
      <c r="AD24" s="1">
        <v>1.0</v>
      </c>
      <c r="AE24" s="1">
        <v>2.0</v>
      </c>
      <c r="AF24" s="1">
        <v>2.0</v>
      </c>
      <c r="AG24" s="1">
        <v>2.0</v>
      </c>
      <c r="AH24" s="1">
        <v>1.0</v>
      </c>
      <c r="AI24" s="1">
        <v>1.0</v>
      </c>
      <c r="AJ24" s="1">
        <v>1.0</v>
      </c>
      <c r="AK24" s="1">
        <v>1.0</v>
      </c>
      <c r="AL24" s="1">
        <v>1.0</v>
      </c>
      <c r="AM24" s="1">
        <v>2.0</v>
      </c>
      <c r="AN24" s="1">
        <v>2.0</v>
      </c>
      <c r="AO24" s="1">
        <v>2.0</v>
      </c>
    </row>
    <row r="25">
      <c r="A25" s="6" t="s">
        <v>72</v>
      </c>
      <c r="B25" s="1">
        <v>1.0</v>
      </c>
      <c r="C25" s="1">
        <v>1.0</v>
      </c>
      <c r="D25" s="1">
        <v>1.0</v>
      </c>
      <c r="E25" s="1">
        <v>1.0</v>
      </c>
      <c r="F25" s="1">
        <v>1.0</v>
      </c>
      <c r="G25" s="1">
        <v>1.0</v>
      </c>
      <c r="H25" s="1">
        <v>0.0</v>
      </c>
      <c r="I25" s="1">
        <v>0.0</v>
      </c>
      <c r="J25" s="1">
        <v>1.0</v>
      </c>
      <c r="K25" s="1">
        <v>1.0</v>
      </c>
      <c r="L25" s="1">
        <v>1.0</v>
      </c>
      <c r="M25" s="1">
        <v>1.0</v>
      </c>
      <c r="N25" s="1">
        <v>1.0</v>
      </c>
      <c r="O25" s="1">
        <v>2.0</v>
      </c>
      <c r="P25" s="1">
        <v>2.0</v>
      </c>
      <c r="Q25" s="1">
        <v>2.0</v>
      </c>
      <c r="R25" s="1">
        <v>1.0</v>
      </c>
      <c r="S25" s="1">
        <v>1.0</v>
      </c>
      <c r="T25" s="1">
        <v>1.0</v>
      </c>
      <c r="U25" s="1">
        <v>1.0</v>
      </c>
      <c r="V25" s="1">
        <v>1.0</v>
      </c>
      <c r="W25" s="1">
        <v>1.0</v>
      </c>
      <c r="X25" s="1">
        <v>0.0</v>
      </c>
      <c r="Y25" s="1">
        <v>0.0</v>
      </c>
      <c r="Z25" s="1">
        <v>1.0</v>
      </c>
      <c r="AA25" s="1">
        <v>1.0</v>
      </c>
      <c r="AB25" s="1">
        <v>1.0</v>
      </c>
      <c r="AC25" s="1">
        <v>1.0</v>
      </c>
      <c r="AD25" s="1">
        <v>1.0</v>
      </c>
      <c r="AE25" s="1">
        <v>2.0</v>
      </c>
      <c r="AF25" s="1">
        <v>2.0</v>
      </c>
      <c r="AG25" s="1">
        <v>2.0</v>
      </c>
      <c r="AH25" s="1">
        <v>1.0</v>
      </c>
      <c r="AI25" s="1">
        <v>1.0</v>
      </c>
      <c r="AJ25" s="1">
        <v>1.0</v>
      </c>
      <c r="AK25" s="1">
        <v>1.0</v>
      </c>
      <c r="AL25" s="1">
        <v>1.0</v>
      </c>
      <c r="AM25" s="1">
        <v>2.0</v>
      </c>
      <c r="AN25" s="1">
        <v>2.0</v>
      </c>
      <c r="AO25" s="1">
        <v>2.0</v>
      </c>
    </row>
    <row r="26">
      <c r="A26" s="6"/>
    </row>
  </sheetData>
  <mergeCells count="3">
    <mergeCell ref="B1:P1"/>
    <mergeCell ref="B2:P2"/>
    <mergeCell ref="B3:P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41" width="11.88"/>
  </cols>
  <sheetData>
    <row r="1">
      <c r="A1" s="1" t="s">
        <v>0</v>
      </c>
      <c r="B1" s="1" t="s">
        <v>2</v>
      </c>
    </row>
    <row r="2">
      <c r="B2" s="1" t="s">
        <v>7</v>
      </c>
    </row>
    <row r="6">
      <c r="B6" s="6" t="str">
        <f t="array" ref="B6:AO7">VSTACK( TOROW(MAKEARRAY(Names!D2, Names!E2, LAMBDA(r, c, INDEX(Names!D3:D1005, r)))), TOROW(MAKEARRAY(Names!D2, Names!E2, LAMBDA(r, c, INDEX(Names!E3:E1005, c)))) )</f>
        <v>Monday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16</v>
      </c>
      <c r="K6" s="6" t="s">
        <v>16</v>
      </c>
      <c r="L6" s="6" t="s">
        <v>16</v>
      </c>
      <c r="M6" s="6" t="s">
        <v>16</v>
      </c>
      <c r="N6" s="6" t="s">
        <v>16</v>
      </c>
      <c r="O6" s="6" t="s">
        <v>16</v>
      </c>
      <c r="P6" s="6" t="s">
        <v>16</v>
      </c>
      <c r="Q6" s="6" t="s">
        <v>16</v>
      </c>
      <c r="R6" s="6" t="s">
        <v>21</v>
      </c>
      <c r="S6" s="6" t="s">
        <v>21</v>
      </c>
      <c r="T6" s="6" t="s">
        <v>21</v>
      </c>
      <c r="U6" s="6" t="s">
        <v>21</v>
      </c>
      <c r="V6" s="6" t="s">
        <v>21</v>
      </c>
      <c r="W6" s="6" t="s">
        <v>21</v>
      </c>
      <c r="X6" s="6" t="s">
        <v>21</v>
      </c>
      <c r="Y6" s="6" t="s">
        <v>21</v>
      </c>
      <c r="Z6" s="6" t="s">
        <v>26</v>
      </c>
      <c r="AA6" s="6" t="s">
        <v>26</v>
      </c>
      <c r="AB6" s="6" t="s">
        <v>26</v>
      </c>
      <c r="AC6" s="6" t="s">
        <v>26</v>
      </c>
      <c r="AD6" s="6" t="s">
        <v>26</v>
      </c>
      <c r="AE6" s="6" t="s">
        <v>26</v>
      </c>
      <c r="AF6" s="6" t="s">
        <v>26</v>
      </c>
      <c r="AG6" s="6" t="s">
        <v>26</v>
      </c>
      <c r="AH6" s="6" t="s">
        <v>31</v>
      </c>
      <c r="AI6" s="6" t="s">
        <v>31</v>
      </c>
      <c r="AJ6" s="6" t="s">
        <v>31</v>
      </c>
      <c r="AK6" s="6" t="s">
        <v>31</v>
      </c>
      <c r="AL6" s="6" t="s">
        <v>31</v>
      </c>
      <c r="AM6" s="6" t="s">
        <v>31</v>
      </c>
      <c r="AN6" s="6" t="s">
        <v>31</v>
      </c>
      <c r="AO6" s="6" t="s">
        <v>31</v>
      </c>
    </row>
    <row r="7">
      <c r="B7" s="6" t="s">
        <v>12</v>
      </c>
      <c r="C7" s="6" t="s">
        <v>17</v>
      </c>
      <c r="D7" s="6" t="s">
        <v>22</v>
      </c>
      <c r="E7" s="6" t="s">
        <v>27</v>
      </c>
      <c r="F7" s="6" t="s">
        <v>32</v>
      </c>
      <c r="G7" s="6" t="s">
        <v>36</v>
      </c>
      <c r="H7" s="6" t="s">
        <v>40</v>
      </c>
      <c r="I7" s="6" t="s">
        <v>44</v>
      </c>
      <c r="J7" s="6" t="s">
        <v>12</v>
      </c>
      <c r="K7" s="6" t="s">
        <v>17</v>
      </c>
      <c r="L7" s="6" t="s">
        <v>22</v>
      </c>
      <c r="M7" s="6" t="s">
        <v>27</v>
      </c>
      <c r="N7" s="6" t="s">
        <v>32</v>
      </c>
      <c r="O7" s="6" t="s">
        <v>36</v>
      </c>
      <c r="P7" s="6" t="s">
        <v>40</v>
      </c>
      <c r="Q7" s="6" t="s">
        <v>44</v>
      </c>
      <c r="R7" s="6" t="s">
        <v>12</v>
      </c>
      <c r="S7" s="6" t="s">
        <v>17</v>
      </c>
      <c r="T7" s="6" t="s">
        <v>22</v>
      </c>
      <c r="U7" s="6" t="s">
        <v>27</v>
      </c>
      <c r="V7" s="6" t="s">
        <v>32</v>
      </c>
      <c r="W7" s="6" t="s">
        <v>36</v>
      </c>
      <c r="X7" s="6" t="s">
        <v>40</v>
      </c>
      <c r="Y7" s="6" t="s">
        <v>44</v>
      </c>
      <c r="Z7" s="6" t="s">
        <v>12</v>
      </c>
      <c r="AA7" s="6" t="s">
        <v>17</v>
      </c>
      <c r="AB7" s="6" t="s">
        <v>22</v>
      </c>
      <c r="AC7" s="6" t="s">
        <v>27</v>
      </c>
      <c r="AD7" s="6" t="s">
        <v>32</v>
      </c>
      <c r="AE7" s="6" t="s">
        <v>36</v>
      </c>
      <c r="AF7" s="6" t="s">
        <v>40</v>
      </c>
      <c r="AG7" s="6" t="s">
        <v>44</v>
      </c>
      <c r="AH7" s="6" t="s">
        <v>12</v>
      </c>
      <c r="AI7" s="6" t="s">
        <v>17</v>
      </c>
      <c r="AJ7" s="6" t="s">
        <v>22</v>
      </c>
      <c r="AK7" s="6" t="s">
        <v>27</v>
      </c>
      <c r="AL7" s="6" t="s">
        <v>32</v>
      </c>
      <c r="AM7" s="6" t="s">
        <v>36</v>
      </c>
      <c r="AN7" s="6" t="s">
        <v>40</v>
      </c>
      <c r="AO7" s="6" t="s">
        <v>44</v>
      </c>
    </row>
    <row r="8">
      <c r="A8" s="8" t="str">
        <f t="array" ref="A8:A83">UNIQUE(Names!B3:B1005)</f>
        <v>AC1</v>
      </c>
      <c r="B8" s="9">
        <v>1.0</v>
      </c>
      <c r="C8" s="9">
        <v>1.0</v>
      </c>
      <c r="D8" s="9">
        <v>1.0</v>
      </c>
      <c r="E8" s="9">
        <v>1.0</v>
      </c>
      <c r="F8" s="9">
        <v>1.0</v>
      </c>
      <c r="G8" s="9">
        <v>0.0</v>
      </c>
      <c r="H8" s="9">
        <v>0.0</v>
      </c>
      <c r="I8" s="9">
        <v>0.0</v>
      </c>
      <c r="J8" s="9">
        <v>1.0</v>
      </c>
      <c r="K8" s="9">
        <v>1.0</v>
      </c>
      <c r="L8" s="9">
        <v>1.0</v>
      </c>
      <c r="M8" s="9">
        <v>1.0</v>
      </c>
      <c r="N8" s="9">
        <v>1.0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  <c r="AB8" s="9">
        <v>0.0</v>
      </c>
      <c r="AC8" s="9">
        <v>0.0</v>
      </c>
      <c r="AD8" s="9">
        <v>0.0</v>
      </c>
      <c r="AE8" s="9">
        <v>0.0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</row>
    <row r="9">
      <c r="A9" s="8" t="s">
        <v>14</v>
      </c>
      <c r="B9" s="9">
        <v>1.0</v>
      </c>
      <c r="C9" s="9">
        <v>1.0</v>
      </c>
      <c r="D9" s="9">
        <v>1.0</v>
      </c>
      <c r="E9" s="9">
        <v>1.0</v>
      </c>
      <c r="F9" s="9">
        <v>1.0</v>
      </c>
      <c r="G9" s="9">
        <v>1.0</v>
      </c>
      <c r="H9" s="9">
        <v>1.0</v>
      </c>
      <c r="I9" s="9">
        <v>1.0</v>
      </c>
      <c r="J9" s="9">
        <v>1.0</v>
      </c>
      <c r="K9" s="9">
        <v>1.0</v>
      </c>
      <c r="L9" s="9">
        <v>1.0</v>
      </c>
      <c r="M9" s="9">
        <v>1.0</v>
      </c>
      <c r="N9" s="9">
        <v>1.0</v>
      </c>
      <c r="O9" s="9">
        <v>1.0</v>
      </c>
      <c r="P9" s="9">
        <v>1.0</v>
      </c>
      <c r="Q9" s="9">
        <v>1.0</v>
      </c>
      <c r="R9" s="9">
        <v>1.0</v>
      </c>
      <c r="S9" s="9">
        <v>1.0</v>
      </c>
      <c r="T9" s="9">
        <v>1.0</v>
      </c>
      <c r="U9" s="9">
        <v>1.0</v>
      </c>
      <c r="V9" s="9">
        <v>1.0</v>
      </c>
      <c r="W9" s="9">
        <v>1.0</v>
      </c>
      <c r="X9" s="9">
        <v>1.0</v>
      </c>
      <c r="Y9" s="9">
        <v>1.0</v>
      </c>
      <c r="Z9" s="9">
        <v>1.0</v>
      </c>
      <c r="AA9" s="9">
        <v>1.0</v>
      </c>
      <c r="AB9" s="9">
        <v>1.0</v>
      </c>
      <c r="AC9" s="9">
        <v>1.0</v>
      </c>
      <c r="AD9" s="9">
        <v>1.0</v>
      </c>
      <c r="AE9" s="9">
        <v>1.0</v>
      </c>
      <c r="AF9" s="9">
        <v>1.0</v>
      </c>
      <c r="AG9" s="9">
        <v>1.0</v>
      </c>
      <c r="AH9" s="9">
        <v>1.0</v>
      </c>
      <c r="AI9" s="9">
        <v>1.0</v>
      </c>
      <c r="AJ9" s="9">
        <v>1.0</v>
      </c>
      <c r="AK9" s="9">
        <v>1.0</v>
      </c>
      <c r="AL9" s="9">
        <v>1.0</v>
      </c>
      <c r="AM9" s="9">
        <v>1.0</v>
      </c>
      <c r="AN9" s="9">
        <v>1.0</v>
      </c>
      <c r="AO9" s="9">
        <v>1.0</v>
      </c>
    </row>
    <row r="10">
      <c r="A10" s="8" t="s">
        <v>19</v>
      </c>
      <c r="B10" s="9">
        <v>0.0</v>
      </c>
      <c r="C10" s="9">
        <v>0.0</v>
      </c>
      <c r="D10" s="9">
        <v>0.0</v>
      </c>
      <c r="E10" s="9">
        <v>0.0</v>
      </c>
      <c r="F10" s="9">
        <v>0.0</v>
      </c>
      <c r="G10" s="9">
        <v>0.0</v>
      </c>
      <c r="H10" s="9">
        <v>0.0</v>
      </c>
      <c r="I10" s="9">
        <v>0.0</v>
      </c>
      <c r="J10" s="9">
        <v>1.0</v>
      </c>
      <c r="K10" s="9">
        <v>1.0</v>
      </c>
      <c r="L10" s="9">
        <v>1.0</v>
      </c>
      <c r="M10" s="9">
        <v>1.0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1.0</v>
      </c>
      <c r="U10" s="9">
        <v>1.0</v>
      </c>
      <c r="V10" s="9">
        <v>0.0</v>
      </c>
      <c r="W10" s="9">
        <v>0.0</v>
      </c>
      <c r="X10" s="9">
        <v>0.0</v>
      </c>
      <c r="Y10" s="9">
        <v>0.0</v>
      </c>
      <c r="Z10" s="9">
        <v>1.0</v>
      </c>
      <c r="AA10" s="9">
        <v>1.0</v>
      </c>
      <c r="AB10" s="9">
        <v>1.0</v>
      </c>
      <c r="AC10" s="9">
        <v>1.0</v>
      </c>
      <c r="AD10" s="9">
        <v>0.0</v>
      </c>
      <c r="AE10" s="9">
        <v>0.0</v>
      </c>
      <c r="AF10" s="9">
        <v>0.0</v>
      </c>
      <c r="AG10" s="9">
        <v>0.0</v>
      </c>
      <c r="AH10" s="9">
        <v>1.0</v>
      </c>
      <c r="AI10" s="9">
        <v>1.0</v>
      </c>
      <c r="AJ10" s="9">
        <v>1.0</v>
      </c>
      <c r="AK10" s="9">
        <v>1.0</v>
      </c>
      <c r="AL10" s="9">
        <v>0.0</v>
      </c>
      <c r="AM10" s="9">
        <v>0.0</v>
      </c>
      <c r="AN10" s="9">
        <v>0.0</v>
      </c>
      <c r="AO10" s="9">
        <v>0.0</v>
      </c>
    </row>
    <row r="11">
      <c r="A11" s="8" t="s">
        <v>24</v>
      </c>
      <c r="B11" s="9">
        <v>1.0</v>
      </c>
      <c r="C11" s="9">
        <v>1.0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1.0</v>
      </c>
      <c r="K11" s="9">
        <v>1.0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1.0</v>
      </c>
      <c r="S11" s="9">
        <v>1.0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1.0</v>
      </c>
      <c r="AA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1.0</v>
      </c>
      <c r="AI11" s="9">
        <v>1.0</v>
      </c>
      <c r="AJ11" s="9">
        <v>1.0</v>
      </c>
      <c r="AK11" s="9">
        <v>1.0</v>
      </c>
      <c r="AL11" s="9">
        <v>1.0</v>
      </c>
      <c r="AM11" s="9">
        <v>1.0</v>
      </c>
      <c r="AN11" s="9">
        <v>1.0</v>
      </c>
      <c r="AO11" s="9">
        <v>1.0</v>
      </c>
    </row>
    <row r="12">
      <c r="A12" s="8" t="s">
        <v>29</v>
      </c>
      <c r="B12" s="9">
        <v>1.0</v>
      </c>
      <c r="C12" s="9">
        <v>1.0</v>
      </c>
      <c r="D12" s="9">
        <v>1.0</v>
      </c>
      <c r="E12" s="9">
        <v>1.0</v>
      </c>
      <c r="F12" s="9">
        <v>1.0</v>
      </c>
      <c r="G12" s="9">
        <v>1.0</v>
      </c>
      <c r="H12" s="9">
        <v>1.0</v>
      </c>
      <c r="I12" s="9">
        <v>1.0</v>
      </c>
      <c r="J12" s="9">
        <v>1.0</v>
      </c>
      <c r="K12" s="9">
        <v>1.0</v>
      </c>
      <c r="L12" s="9">
        <v>1.0</v>
      </c>
      <c r="M12" s="9">
        <v>1.0</v>
      </c>
      <c r="N12" s="9">
        <v>1.0</v>
      </c>
      <c r="O12" s="9">
        <v>1.0</v>
      </c>
      <c r="P12" s="9">
        <v>1.0</v>
      </c>
      <c r="Q12" s="9">
        <v>1.0</v>
      </c>
      <c r="R12" s="9">
        <v>1.0</v>
      </c>
      <c r="S12" s="9">
        <v>1.0</v>
      </c>
      <c r="T12" s="9">
        <v>1.0</v>
      </c>
      <c r="U12" s="9">
        <v>1.0</v>
      </c>
      <c r="V12" s="9">
        <v>1.0</v>
      </c>
      <c r="W12" s="9">
        <v>1.0</v>
      </c>
      <c r="X12" s="9">
        <v>1.0</v>
      </c>
      <c r="Y12" s="9">
        <v>1.0</v>
      </c>
      <c r="Z12" s="9">
        <v>1.0</v>
      </c>
      <c r="AA12" s="9">
        <v>1.0</v>
      </c>
      <c r="AB12" s="9">
        <v>1.0</v>
      </c>
      <c r="AC12" s="9">
        <v>1.0</v>
      </c>
      <c r="AD12" s="9">
        <v>1.0</v>
      </c>
      <c r="AE12" s="9">
        <v>1.0</v>
      </c>
      <c r="AF12" s="9">
        <v>1.0</v>
      </c>
      <c r="AG12" s="9">
        <v>1.0</v>
      </c>
      <c r="AH12" s="9">
        <v>1.0</v>
      </c>
      <c r="AI12" s="9">
        <v>1.0</v>
      </c>
      <c r="AJ12" s="9">
        <v>1.0</v>
      </c>
      <c r="AK12" s="9">
        <v>1.0</v>
      </c>
      <c r="AL12" s="9">
        <v>1.0</v>
      </c>
      <c r="AM12" s="9">
        <v>1.0</v>
      </c>
      <c r="AN12" s="9">
        <v>1.0</v>
      </c>
      <c r="AO12" s="9">
        <v>1.0</v>
      </c>
    </row>
    <row r="13">
      <c r="A13" s="8" t="s">
        <v>34</v>
      </c>
      <c r="B13" s="9">
        <v>0.0</v>
      </c>
      <c r="C13" s="10">
        <v>1.0</v>
      </c>
      <c r="D13" s="10">
        <v>1.0</v>
      </c>
      <c r="E13" s="9">
        <v>1.0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10">
        <v>1.0</v>
      </c>
      <c r="L13" s="9">
        <v>1.0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10">
        <v>1.0</v>
      </c>
      <c r="U13" s="9">
        <v>1.0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A13" s="9">
        <v>0.0</v>
      </c>
      <c r="AB13" s="9">
        <v>0.0</v>
      </c>
      <c r="AC13" s="9">
        <v>1.0</v>
      </c>
      <c r="AD13" s="9">
        <v>0.0</v>
      </c>
      <c r="AE13" s="9">
        <v>0.0</v>
      </c>
      <c r="AF13" s="9">
        <v>0.0</v>
      </c>
      <c r="AG13" s="9">
        <v>0.0</v>
      </c>
      <c r="AH13" s="9">
        <v>0.0</v>
      </c>
      <c r="AI13" s="9">
        <v>0.0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</row>
    <row r="14">
      <c r="A14" s="8" t="s">
        <v>38</v>
      </c>
      <c r="B14" s="9">
        <v>1.0</v>
      </c>
      <c r="C14" s="9">
        <v>1.0</v>
      </c>
      <c r="D14" s="9">
        <v>1.0</v>
      </c>
      <c r="E14" s="9">
        <v>1.0</v>
      </c>
      <c r="F14" s="9">
        <v>1.0</v>
      </c>
      <c r="G14" s="9">
        <v>1.0</v>
      </c>
      <c r="H14" s="9">
        <v>0.0</v>
      </c>
      <c r="I14" s="9">
        <v>0.0</v>
      </c>
      <c r="J14" s="9">
        <v>1.0</v>
      </c>
      <c r="K14" s="9">
        <v>1.0</v>
      </c>
      <c r="L14" s="9">
        <v>1.0</v>
      </c>
      <c r="M14" s="9">
        <v>1.0</v>
      </c>
      <c r="N14" s="9">
        <v>1.0</v>
      </c>
      <c r="O14" s="9">
        <v>1.0</v>
      </c>
      <c r="P14" s="9">
        <v>1.0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1.0</v>
      </c>
      <c r="AA14" s="9">
        <v>1.0</v>
      </c>
      <c r="AB14" s="9">
        <v>1.0</v>
      </c>
      <c r="AC14" s="9">
        <v>1.0</v>
      </c>
      <c r="AD14" s="9">
        <v>1.0</v>
      </c>
      <c r="AE14" s="9">
        <v>1.0</v>
      </c>
      <c r="AF14" s="9">
        <v>1.0</v>
      </c>
      <c r="AG14" s="9">
        <v>0.0</v>
      </c>
      <c r="AH14" s="9">
        <v>1.0</v>
      </c>
      <c r="AI14" s="9">
        <v>1.0</v>
      </c>
      <c r="AJ14" s="9">
        <v>1.0</v>
      </c>
      <c r="AK14" s="9">
        <v>1.0</v>
      </c>
      <c r="AL14" s="9">
        <v>1.0</v>
      </c>
      <c r="AM14" s="9">
        <v>0.0</v>
      </c>
      <c r="AN14" s="9">
        <v>0.0</v>
      </c>
      <c r="AO14" s="9">
        <v>0.0</v>
      </c>
    </row>
    <row r="15">
      <c r="A15" s="8" t="s">
        <v>42</v>
      </c>
      <c r="B15" s="9">
        <v>1.0</v>
      </c>
      <c r="C15" s="9">
        <v>1.0</v>
      </c>
      <c r="D15" s="9">
        <v>1.0</v>
      </c>
      <c r="E15" s="9">
        <v>1.0</v>
      </c>
      <c r="F15" s="9">
        <v>1.0</v>
      </c>
      <c r="G15" s="9">
        <v>1.0</v>
      </c>
      <c r="H15" s="9">
        <v>1.0</v>
      </c>
      <c r="I15" s="9">
        <v>1.0</v>
      </c>
      <c r="J15" s="9">
        <v>1.0</v>
      </c>
      <c r="K15" s="9">
        <v>1.0</v>
      </c>
      <c r="L15" s="9">
        <v>1.0</v>
      </c>
      <c r="M15" s="9">
        <v>1.0</v>
      </c>
      <c r="N15" s="9">
        <v>1.0</v>
      </c>
      <c r="O15" s="9">
        <v>1.0</v>
      </c>
      <c r="P15" s="9">
        <v>1.0</v>
      </c>
      <c r="Q15" s="9">
        <v>1.0</v>
      </c>
      <c r="R15" s="9">
        <v>1.0</v>
      </c>
      <c r="S15" s="9">
        <v>1.0</v>
      </c>
      <c r="T15" s="9">
        <v>1.0</v>
      </c>
      <c r="U15" s="9">
        <v>1.0</v>
      </c>
      <c r="V15" s="9">
        <v>1.0</v>
      </c>
      <c r="W15" s="9">
        <v>1.0</v>
      </c>
      <c r="X15" s="9">
        <v>1.0</v>
      </c>
      <c r="Y15" s="9">
        <v>1.0</v>
      </c>
      <c r="Z15" s="9">
        <v>1.0</v>
      </c>
      <c r="AA15" s="9">
        <v>1.0</v>
      </c>
      <c r="AB15" s="9">
        <v>1.0</v>
      </c>
      <c r="AC15" s="9">
        <v>1.0</v>
      </c>
      <c r="AD15" s="9">
        <v>1.0</v>
      </c>
      <c r="AE15" s="9">
        <v>1.0</v>
      </c>
      <c r="AF15" s="9">
        <v>1.0</v>
      </c>
      <c r="AG15" s="9">
        <v>1.0</v>
      </c>
      <c r="AH15" s="9">
        <v>1.0</v>
      </c>
      <c r="AI15" s="9">
        <v>1.0</v>
      </c>
      <c r="AJ15" s="9">
        <v>1.0</v>
      </c>
      <c r="AK15" s="9">
        <v>1.0</v>
      </c>
      <c r="AL15" s="9">
        <v>1.0</v>
      </c>
      <c r="AM15" s="9">
        <v>1.0</v>
      </c>
      <c r="AN15" s="9">
        <v>1.0</v>
      </c>
      <c r="AO15" s="9">
        <v>1.0</v>
      </c>
    </row>
    <row r="16">
      <c r="A16" s="8" t="s">
        <v>46</v>
      </c>
      <c r="B16" s="9">
        <v>1.0</v>
      </c>
      <c r="C16" s="9">
        <v>1.0</v>
      </c>
      <c r="D16" s="9">
        <v>1.0</v>
      </c>
      <c r="E16" s="9">
        <v>1.0</v>
      </c>
      <c r="F16" s="9">
        <v>1.0</v>
      </c>
      <c r="G16" s="9">
        <v>1.0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1.0</v>
      </c>
      <c r="S16" s="9">
        <v>1.0</v>
      </c>
      <c r="T16" s="9">
        <v>1.0</v>
      </c>
      <c r="U16" s="9">
        <v>1.0</v>
      </c>
      <c r="V16" s="9">
        <v>1.0</v>
      </c>
      <c r="W16" s="9">
        <v>1.0</v>
      </c>
      <c r="X16" s="9">
        <v>0.0</v>
      </c>
      <c r="Y16" s="9">
        <v>0.0</v>
      </c>
      <c r="Z16" s="9">
        <v>1.0</v>
      </c>
      <c r="AA16" s="9">
        <v>1.0</v>
      </c>
      <c r="AB16" s="9">
        <v>1.0</v>
      </c>
      <c r="AC16" s="9">
        <v>1.0</v>
      </c>
      <c r="AD16" s="9">
        <v>1.0</v>
      </c>
      <c r="AE16" s="9">
        <v>1.0</v>
      </c>
      <c r="AF16" s="9">
        <v>0.0</v>
      </c>
      <c r="AG16" s="9">
        <v>0.0</v>
      </c>
      <c r="AH16" s="9">
        <v>1.0</v>
      </c>
      <c r="AI16" s="9">
        <v>1.0</v>
      </c>
      <c r="AJ16" s="9">
        <v>1.0</v>
      </c>
      <c r="AK16" s="9">
        <v>1.0</v>
      </c>
      <c r="AL16" s="9">
        <v>1.0</v>
      </c>
      <c r="AM16" s="9">
        <v>1.0</v>
      </c>
      <c r="AN16" s="9">
        <v>1.0</v>
      </c>
      <c r="AO16" s="9">
        <v>1.0</v>
      </c>
    </row>
    <row r="17">
      <c r="A17" s="8" t="s">
        <v>49</v>
      </c>
      <c r="B17" s="9">
        <v>1.0</v>
      </c>
      <c r="C17" s="9">
        <v>1.0</v>
      </c>
      <c r="D17" s="9">
        <v>1.0</v>
      </c>
      <c r="E17" s="9">
        <v>1.0</v>
      </c>
      <c r="F17" s="9">
        <v>1.0</v>
      </c>
      <c r="G17" s="9">
        <v>1.0</v>
      </c>
      <c r="H17" s="9">
        <v>1.0</v>
      </c>
      <c r="I17" s="9">
        <v>1.0</v>
      </c>
      <c r="J17" s="9">
        <v>1.0</v>
      </c>
      <c r="K17" s="9">
        <v>1.0</v>
      </c>
      <c r="L17" s="9">
        <v>1.0</v>
      </c>
      <c r="M17" s="9">
        <v>1.0</v>
      </c>
      <c r="N17" s="9">
        <v>1.0</v>
      </c>
      <c r="O17" s="9">
        <v>1.0</v>
      </c>
      <c r="P17" s="9">
        <v>1.0</v>
      </c>
      <c r="Q17" s="9">
        <v>1.0</v>
      </c>
      <c r="R17" s="9">
        <v>1.0</v>
      </c>
      <c r="S17" s="9">
        <v>1.0</v>
      </c>
      <c r="T17" s="9">
        <v>1.0</v>
      </c>
      <c r="U17" s="9">
        <v>1.0</v>
      </c>
      <c r="V17" s="9">
        <v>1.0</v>
      </c>
      <c r="W17" s="9">
        <v>1.0</v>
      </c>
      <c r="X17" s="9">
        <v>1.0</v>
      </c>
      <c r="Y17" s="9">
        <v>1.0</v>
      </c>
      <c r="Z17" s="9">
        <v>1.0</v>
      </c>
      <c r="AA17" s="9">
        <v>1.0</v>
      </c>
      <c r="AB17" s="9">
        <v>1.0</v>
      </c>
      <c r="AC17" s="9">
        <v>1.0</v>
      </c>
      <c r="AD17" s="9">
        <v>1.0</v>
      </c>
      <c r="AE17" s="9">
        <v>1.0</v>
      </c>
      <c r="AF17" s="9">
        <v>1.0</v>
      </c>
      <c r="AG17" s="9">
        <v>1.0</v>
      </c>
      <c r="AH17" s="9">
        <v>1.0</v>
      </c>
      <c r="AI17" s="9">
        <v>1.0</v>
      </c>
      <c r="AJ17" s="9">
        <v>1.0</v>
      </c>
      <c r="AK17" s="9">
        <v>1.0</v>
      </c>
      <c r="AL17" s="9">
        <v>1.0</v>
      </c>
      <c r="AM17" s="9">
        <v>1.0</v>
      </c>
      <c r="AN17" s="9">
        <v>1.0</v>
      </c>
      <c r="AO17" s="9">
        <v>1.0</v>
      </c>
    </row>
    <row r="18">
      <c r="A18" s="8" t="s">
        <v>52</v>
      </c>
      <c r="B18" s="9">
        <v>1.0</v>
      </c>
      <c r="C18" s="9">
        <v>1.0</v>
      </c>
      <c r="D18" s="9">
        <v>1.0</v>
      </c>
      <c r="E18" s="9">
        <v>1.0</v>
      </c>
      <c r="F18" s="9">
        <v>1.0</v>
      </c>
      <c r="G18" s="9">
        <v>1.0</v>
      </c>
      <c r="H18" s="9">
        <v>1.0</v>
      </c>
      <c r="I18" s="9">
        <v>1.0</v>
      </c>
      <c r="J18" s="9">
        <v>1.0</v>
      </c>
      <c r="K18" s="9">
        <v>1.0</v>
      </c>
      <c r="L18" s="9">
        <v>1.0</v>
      </c>
      <c r="M18" s="9">
        <v>1.0</v>
      </c>
      <c r="N18" s="9">
        <v>1.0</v>
      </c>
      <c r="O18" s="9">
        <v>1.0</v>
      </c>
      <c r="P18" s="9">
        <v>1.0</v>
      </c>
      <c r="Q18" s="9">
        <v>1.0</v>
      </c>
      <c r="R18" s="9">
        <v>1.0</v>
      </c>
      <c r="S18" s="9">
        <v>1.0</v>
      </c>
      <c r="T18" s="9">
        <v>1.0</v>
      </c>
      <c r="U18" s="9">
        <v>1.0</v>
      </c>
      <c r="V18" s="9">
        <v>1.0</v>
      </c>
      <c r="W18" s="9">
        <v>1.0</v>
      </c>
      <c r="X18" s="9">
        <v>1.0</v>
      </c>
      <c r="Y18" s="9">
        <v>1.0</v>
      </c>
      <c r="Z18" s="9">
        <v>1.0</v>
      </c>
      <c r="AA18" s="9">
        <v>1.0</v>
      </c>
      <c r="AB18" s="9">
        <v>1.0</v>
      </c>
      <c r="AC18" s="9">
        <v>1.0</v>
      </c>
      <c r="AD18" s="9">
        <v>1.0</v>
      </c>
      <c r="AE18" s="9">
        <v>1.0</v>
      </c>
      <c r="AF18" s="9">
        <v>1.0</v>
      </c>
      <c r="AG18" s="9">
        <v>1.0</v>
      </c>
      <c r="AH18" s="9">
        <v>1.0</v>
      </c>
      <c r="AI18" s="9">
        <v>1.0</v>
      </c>
      <c r="AJ18" s="9">
        <v>1.0</v>
      </c>
      <c r="AK18" s="9">
        <v>1.0</v>
      </c>
      <c r="AL18" s="9">
        <v>1.0</v>
      </c>
      <c r="AM18" s="9">
        <v>1.0</v>
      </c>
      <c r="AN18" s="9">
        <v>1.0</v>
      </c>
      <c r="AO18" s="9">
        <v>1.0</v>
      </c>
    </row>
    <row r="19">
      <c r="A19" s="8" t="s">
        <v>55</v>
      </c>
      <c r="B19" s="9">
        <v>1.0</v>
      </c>
      <c r="C19" s="9">
        <v>1.0</v>
      </c>
      <c r="D19" s="9">
        <v>1.0</v>
      </c>
      <c r="E19" s="9">
        <v>1.0</v>
      </c>
      <c r="F19" s="9">
        <v>1.0</v>
      </c>
      <c r="G19" s="9">
        <v>1.0</v>
      </c>
      <c r="H19" s="9">
        <v>0.0</v>
      </c>
      <c r="I19" s="9">
        <v>0.0</v>
      </c>
      <c r="J19" s="9">
        <v>1.0</v>
      </c>
      <c r="K19" s="9">
        <v>1.0</v>
      </c>
      <c r="L19" s="9">
        <v>1.0</v>
      </c>
      <c r="M19" s="9">
        <v>1.0</v>
      </c>
      <c r="N19" s="9">
        <v>1.0</v>
      </c>
      <c r="O19" s="9">
        <v>1.0</v>
      </c>
      <c r="P19" s="9">
        <v>1.0</v>
      </c>
      <c r="Q19" s="9">
        <v>1.0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0.0</v>
      </c>
      <c r="AG19" s="9">
        <v>0.0</v>
      </c>
      <c r="AH19" s="9">
        <v>1.0</v>
      </c>
      <c r="AI19" s="9">
        <v>1.0</v>
      </c>
      <c r="AJ19" s="9">
        <v>1.0</v>
      </c>
      <c r="AK19" s="9">
        <v>1.0</v>
      </c>
      <c r="AL19" s="9">
        <v>1.0</v>
      </c>
      <c r="AM19" s="9">
        <v>1.0</v>
      </c>
      <c r="AN19" s="9">
        <v>1.0</v>
      </c>
      <c r="AO19" s="9">
        <v>1.0</v>
      </c>
    </row>
    <row r="20">
      <c r="A20" s="8" t="s">
        <v>58</v>
      </c>
      <c r="B20" s="9">
        <v>1.0</v>
      </c>
      <c r="C20" s="9">
        <v>1.0</v>
      </c>
      <c r="D20" s="9">
        <v>1.0</v>
      </c>
      <c r="E20" s="9">
        <v>1.0</v>
      </c>
      <c r="F20" s="9">
        <v>1.0</v>
      </c>
      <c r="G20" s="9">
        <v>0.0</v>
      </c>
      <c r="H20" s="9">
        <v>0.0</v>
      </c>
      <c r="I20" s="9">
        <v>0.0</v>
      </c>
      <c r="J20" s="9">
        <v>1.0</v>
      </c>
      <c r="K20" s="9">
        <v>1.0</v>
      </c>
      <c r="L20" s="9">
        <v>1.0</v>
      </c>
      <c r="M20" s="9">
        <v>1.0</v>
      </c>
      <c r="N20" s="9">
        <v>1.0</v>
      </c>
      <c r="O20" s="9">
        <v>1.0</v>
      </c>
      <c r="P20" s="9">
        <v>1.0</v>
      </c>
      <c r="Q20" s="9">
        <v>1.0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0.0</v>
      </c>
      <c r="AJ20" s="9">
        <v>0.0</v>
      </c>
      <c r="AK20" s="9">
        <v>0.0</v>
      </c>
      <c r="AL20" s="9">
        <v>0.0</v>
      </c>
      <c r="AM20" s="9">
        <v>0.0</v>
      </c>
      <c r="AN20" s="9">
        <v>0.0</v>
      </c>
      <c r="AO20" s="9">
        <v>0.0</v>
      </c>
    </row>
    <row r="21">
      <c r="A21" s="8" t="s">
        <v>61</v>
      </c>
      <c r="B21" s="9">
        <v>0.0</v>
      </c>
      <c r="C21" s="9">
        <v>0.0</v>
      </c>
      <c r="D21" s="9">
        <v>0.0</v>
      </c>
      <c r="E21" s="9">
        <v>0.0</v>
      </c>
      <c r="F21" s="9">
        <v>1.0</v>
      </c>
      <c r="G21" s="9">
        <v>1.0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1.0</v>
      </c>
      <c r="P21" s="9">
        <v>1.0</v>
      </c>
      <c r="Q21" s="9">
        <v>1.0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1.0</v>
      </c>
      <c r="AF21" s="9">
        <v>1.0</v>
      </c>
      <c r="AG21" s="9">
        <v>1.0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0.0</v>
      </c>
      <c r="AO21" s="9">
        <v>1.0</v>
      </c>
    </row>
    <row r="22">
      <c r="A22" s="8" t="s">
        <v>64</v>
      </c>
      <c r="B22" s="9">
        <v>0.0</v>
      </c>
      <c r="C22" s="9">
        <v>0.0</v>
      </c>
      <c r="D22" s="9">
        <v>0.0</v>
      </c>
      <c r="E22" s="9">
        <v>1.0</v>
      </c>
      <c r="F22" s="9">
        <v>1.0</v>
      </c>
      <c r="G22" s="9">
        <v>1.0</v>
      </c>
      <c r="H22" s="9">
        <v>0.0</v>
      </c>
      <c r="I22" s="9">
        <v>0.0</v>
      </c>
      <c r="J22" s="9">
        <v>1.0</v>
      </c>
      <c r="K22" s="9">
        <v>1.0</v>
      </c>
      <c r="L22" s="9">
        <v>1.0</v>
      </c>
      <c r="M22" s="9">
        <v>1.0</v>
      </c>
      <c r="N22" s="9">
        <v>1.0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9">
        <v>1.0</v>
      </c>
      <c r="AA22" s="9">
        <v>1.0</v>
      </c>
      <c r="AB22" s="9">
        <v>1.0</v>
      </c>
      <c r="AC22" s="9">
        <v>1.0</v>
      </c>
      <c r="AD22" s="9">
        <v>1.0</v>
      </c>
      <c r="AE22" s="9">
        <v>0.0</v>
      </c>
      <c r="AF22" s="9">
        <v>0.0</v>
      </c>
      <c r="AG22" s="9">
        <v>0.0</v>
      </c>
      <c r="AH22" s="9">
        <v>0.0</v>
      </c>
      <c r="AI22" s="9">
        <v>0.0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</row>
    <row r="23">
      <c r="A23" s="8" t="s">
        <v>67</v>
      </c>
      <c r="B23" s="9">
        <v>0.0</v>
      </c>
      <c r="C23" s="10">
        <v>1.0</v>
      </c>
      <c r="D23" s="10">
        <v>1.0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10">
        <v>1.0</v>
      </c>
      <c r="N23" s="10">
        <v>1.0</v>
      </c>
      <c r="O23" s="9">
        <v>1.0</v>
      </c>
      <c r="P23" s="9">
        <v>1.0</v>
      </c>
      <c r="Q23" s="9">
        <v>1.0</v>
      </c>
      <c r="R23" s="9">
        <v>0.0</v>
      </c>
      <c r="S23" s="9">
        <v>0.0</v>
      </c>
      <c r="T23" s="9">
        <v>1.0</v>
      </c>
      <c r="U23" s="9">
        <v>1.0</v>
      </c>
      <c r="V23" s="9">
        <v>1.0</v>
      </c>
      <c r="W23" s="9">
        <v>1.0</v>
      </c>
      <c r="X23" s="9">
        <v>0.0</v>
      </c>
      <c r="Y23" s="9">
        <v>0.0</v>
      </c>
      <c r="Z23" s="9">
        <v>1.0</v>
      </c>
      <c r="AA23" s="9">
        <v>1.0</v>
      </c>
      <c r="AB23" s="9">
        <v>1.0</v>
      </c>
      <c r="AC23" s="9">
        <v>1.0</v>
      </c>
      <c r="AD23" s="9">
        <v>1.0</v>
      </c>
      <c r="AE23" s="9">
        <v>1.0</v>
      </c>
      <c r="AF23" s="9">
        <v>1.0</v>
      </c>
      <c r="AG23" s="9">
        <v>1.0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</row>
    <row r="24">
      <c r="A24" s="8" t="s">
        <v>70</v>
      </c>
      <c r="B24" s="9">
        <v>1.0</v>
      </c>
      <c r="C24" s="9">
        <v>1.0</v>
      </c>
      <c r="D24" s="9">
        <v>1.0</v>
      </c>
      <c r="E24" s="9">
        <v>1.0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1.0</v>
      </c>
      <c r="S24" s="9">
        <v>1.0</v>
      </c>
      <c r="T24" s="9">
        <v>1.0</v>
      </c>
      <c r="U24" s="9">
        <v>1.0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0.0</v>
      </c>
      <c r="AG24" s="9">
        <v>0.0</v>
      </c>
      <c r="AH24" s="9">
        <v>0.0</v>
      </c>
      <c r="AI24" s="9">
        <v>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</row>
    <row r="25">
      <c r="A25" s="6" t="s">
        <v>73</v>
      </c>
      <c r="B25" s="9">
        <v>0.0</v>
      </c>
      <c r="C25" s="9">
        <v>0.0</v>
      </c>
      <c r="D25" s="9">
        <v>1.0</v>
      </c>
      <c r="E25" s="9">
        <v>1.0</v>
      </c>
      <c r="F25" s="9">
        <v>1.0</v>
      </c>
      <c r="G25" s="9">
        <v>1.0</v>
      </c>
      <c r="H25" s="9">
        <v>0.0</v>
      </c>
      <c r="I25" s="9">
        <v>0.0</v>
      </c>
      <c r="J25" s="9">
        <v>0.0</v>
      </c>
      <c r="K25" s="9">
        <v>0.0</v>
      </c>
      <c r="L25" s="9">
        <v>1.0</v>
      </c>
      <c r="M25" s="9">
        <v>1.0</v>
      </c>
      <c r="N25" s="9">
        <v>1.0</v>
      </c>
      <c r="O25" s="9">
        <v>1.0</v>
      </c>
      <c r="P25" s="9">
        <v>1.0</v>
      </c>
      <c r="Q25" s="9">
        <v>1.0</v>
      </c>
      <c r="R25" s="9">
        <v>0.0</v>
      </c>
      <c r="S25" s="9">
        <v>0.0</v>
      </c>
      <c r="T25" s="9">
        <v>1.0</v>
      </c>
      <c r="U25" s="9">
        <v>1.0</v>
      </c>
      <c r="V25" s="9">
        <v>1.0</v>
      </c>
      <c r="W25" s="9">
        <v>1.0</v>
      </c>
      <c r="X25" s="9">
        <v>0.0</v>
      </c>
      <c r="Y25" s="9">
        <v>0.0</v>
      </c>
      <c r="Z25" s="9">
        <v>0.0</v>
      </c>
      <c r="AA25" s="9">
        <v>0.0</v>
      </c>
      <c r="AB25" s="9">
        <v>1.0</v>
      </c>
      <c r="AC25" s="9">
        <v>1.0</v>
      </c>
      <c r="AD25" s="9">
        <v>1.0</v>
      </c>
      <c r="AE25" s="9">
        <v>1.0</v>
      </c>
      <c r="AF25" s="9">
        <v>1.0</v>
      </c>
      <c r="AG25" s="9">
        <v>1.0</v>
      </c>
      <c r="AH25" s="9">
        <v>0.0</v>
      </c>
      <c r="AI25" s="9">
        <v>0.0</v>
      </c>
      <c r="AJ25" s="9">
        <v>1.0</v>
      </c>
      <c r="AK25" s="9">
        <v>1.0</v>
      </c>
      <c r="AL25" s="9">
        <v>1.0</v>
      </c>
      <c r="AM25" s="9">
        <v>1.0</v>
      </c>
      <c r="AN25" s="9">
        <v>1.0</v>
      </c>
      <c r="AO25" s="9">
        <v>1.0</v>
      </c>
    </row>
    <row r="26">
      <c r="A26" s="6" t="s">
        <v>75</v>
      </c>
      <c r="B26" s="9">
        <v>1.0</v>
      </c>
      <c r="C26" s="9">
        <v>1.0</v>
      </c>
      <c r="D26" s="9">
        <v>1.0</v>
      </c>
      <c r="E26" s="9">
        <v>1.0</v>
      </c>
      <c r="F26" s="9">
        <v>1.0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1.0</v>
      </c>
      <c r="P26" s="9">
        <v>1.0</v>
      </c>
      <c r="Q26" s="9">
        <v>1.0</v>
      </c>
      <c r="R26" s="9">
        <v>1.0</v>
      </c>
      <c r="S26" s="9">
        <v>1.0</v>
      </c>
      <c r="T26" s="9">
        <v>1.0</v>
      </c>
      <c r="U26" s="9">
        <v>1.0</v>
      </c>
      <c r="V26" s="9">
        <v>1.0</v>
      </c>
      <c r="W26" s="9">
        <v>0.0</v>
      </c>
      <c r="X26" s="9">
        <v>0.0</v>
      </c>
      <c r="Y26" s="9">
        <v>0.0</v>
      </c>
      <c r="Z26" s="9">
        <v>1.0</v>
      </c>
      <c r="AA26" s="9">
        <v>1.0</v>
      </c>
      <c r="AB26" s="9">
        <v>1.0</v>
      </c>
      <c r="AC26" s="9">
        <v>1.0</v>
      </c>
      <c r="AD26" s="9">
        <v>1.0</v>
      </c>
      <c r="AE26" s="9">
        <v>1.0</v>
      </c>
      <c r="AF26" s="9">
        <v>1.0</v>
      </c>
      <c r="AG26" s="9">
        <v>1.0</v>
      </c>
      <c r="AH26" s="9">
        <v>1.0</v>
      </c>
      <c r="AI26" s="9">
        <v>1.0</v>
      </c>
      <c r="AJ26" s="9">
        <v>1.0</v>
      </c>
      <c r="AK26" s="9">
        <v>1.0</v>
      </c>
      <c r="AL26" s="9">
        <v>1.0</v>
      </c>
      <c r="AM26" s="9">
        <v>1.0</v>
      </c>
      <c r="AN26" s="9">
        <v>1.0</v>
      </c>
      <c r="AO26" s="9">
        <v>1.0</v>
      </c>
    </row>
    <row r="27">
      <c r="A27" s="6" t="s">
        <v>78</v>
      </c>
      <c r="B27" s="9">
        <v>1.0</v>
      </c>
      <c r="C27" s="9">
        <v>1.0</v>
      </c>
      <c r="D27" s="9">
        <v>1.0</v>
      </c>
      <c r="E27" s="9">
        <v>1.0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9">
        <v>1.0</v>
      </c>
      <c r="AA27" s="9">
        <v>1.0</v>
      </c>
      <c r="AB27" s="9">
        <v>1.0</v>
      </c>
      <c r="AC27" s="9">
        <v>1.0</v>
      </c>
      <c r="AD27" s="9">
        <v>1.0</v>
      </c>
      <c r="AE27" s="9">
        <v>0.0</v>
      </c>
      <c r="AF27" s="9">
        <v>0.0</v>
      </c>
      <c r="AG27" s="9">
        <v>0.0</v>
      </c>
      <c r="AH27" s="9">
        <v>1.0</v>
      </c>
      <c r="AI27" s="9">
        <v>1.0</v>
      </c>
      <c r="AJ27" s="9">
        <v>1.0</v>
      </c>
      <c r="AK27" s="9">
        <v>1.0</v>
      </c>
      <c r="AL27" s="9">
        <v>1.0</v>
      </c>
      <c r="AM27" s="9">
        <v>1.0</v>
      </c>
      <c r="AN27" s="9">
        <v>0.0</v>
      </c>
      <c r="AO27" s="9">
        <v>0.0</v>
      </c>
    </row>
    <row r="28">
      <c r="A28" s="6" t="s">
        <v>80</v>
      </c>
      <c r="B28" s="9">
        <v>0.0</v>
      </c>
      <c r="C28" s="9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1.0</v>
      </c>
      <c r="K28" s="9">
        <v>1.0</v>
      </c>
      <c r="L28" s="9">
        <v>1.0</v>
      </c>
      <c r="M28" s="9">
        <v>1.0</v>
      </c>
      <c r="N28" s="9">
        <v>1.0</v>
      </c>
      <c r="O28" s="9">
        <v>1.0</v>
      </c>
      <c r="P28" s="9">
        <v>1.0</v>
      </c>
      <c r="Q28" s="9">
        <v>1.0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1.0</v>
      </c>
      <c r="AA28" s="9">
        <v>1.0</v>
      </c>
      <c r="AB28" s="9">
        <v>1.0</v>
      </c>
      <c r="AC28" s="9">
        <v>1.0</v>
      </c>
      <c r="AD28" s="9">
        <v>1.0</v>
      </c>
      <c r="AE28" s="9">
        <v>1.0</v>
      </c>
      <c r="AF28" s="9">
        <v>1.0</v>
      </c>
      <c r="AG28" s="9">
        <v>1.0</v>
      </c>
      <c r="AH28" s="9">
        <v>1.0</v>
      </c>
      <c r="AI28" s="9">
        <v>1.0</v>
      </c>
      <c r="AJ28" s="9">
        <v>1.0</v>
      </c>
      <c r="AK28" s="9">
        <v>1.0</v>
      </c>
      <c r="AL28" s="9">
        <v>1.0</v>
      </c>
      <c r="AM28" s="9">
        <v>1.0</v>
      </c>
      <c r="AN28" s="9">
        <v>1.0</v>
      </c>
      <c r="AO28" s="9">
        <v>1.0</v>
      </c>
    </row>
    <row r="29">
      <c r="A29" s="6" t="s">
        <v>82</v>
      </c>
      <c r="B29" s="9">
        <v>0.0</v>
      </c>
      <c r="C29" s="9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0.0</v>
      </c>
      <c r="AG29" s="9">
        <v>0.0</v>
      </c>
      <c r="AH29" s="9">
        <v>0.0</v>
      </c>
      <c r="AI29" s="9">
        <v>0.0</v>
      </c>
      <c r="AJ29" s="9">
        <v>0.0</v>
      </c>
      <c r="AK29" s="9">
        <v>0.0</v>
      </c>
      <c r="AL29" s="9">
        <v>1.0</v>
      </c>
      <c r="AM29" s="9">
        <v>1.0</v>
      </c>
      <c r="AN29" s="9">
        <v>1.0</v>
      </c>
      <c r="AO29" s="9">
        <v>1.0</v>
      </c>
    </row>
    <row r="30">
      <c r="A30" s="6" t="s">
        <v>84</v>
      </c>
      <c r="B30" s="9">
        <v>1.0</v>
      </c>
      <c r="C30" s="9">
        <v>1.0</v>
      </c>
      <c r="D30" s="9">
        <v>1.0</v>
      </c>
      <c r="E30" s="9">
        <v>1.0</v>
      </c>
      <c r="F30" s="9">
        <v>1.0</v>
      </c>
      <c r="G30" s="9">
        <v>1.0</v>
      </c>
      <c r="H30" s="9">
        <v>1.0</v>
      </c>
      <c r="I30" s="9">
        <v>1.0</v>
      </c>
      <c r="J30" s="9">
        <v>1.0</v>
      </c>
      <c r="K30" s="9">
        <v>1.0</v>
      </c>
      <c r="L30" s="9">
        <v>1.0</v>
      </c>
      <c r="M30" s="9">
        <v>1.0</v>
      </c>
      <c r="N30" s="9">
        <v>1.0</v>
      </c>
      <c r="O30" s="9">
        <v>1.0</v>
      </c>
      <c r="P30" s="9">
        <v>1.0</v>
      </c>
      <c r="Q30" s="9">
        <v>1.0</v>
      </c>
      <c r="R30" s="9">
        <v>1.0</v>
      </c>
      <c r="S30" s="9">
        <v>1.0</v>
      </c>
      <c r="T30" s="9">
        <v>1.0</v>
      </c>
      <c r="U30" s="9">
        <v>1.0</v>
      </c>
      <c r="V30" s="9">
        <v>1.0</v>
      </c>
      <c r="W30" s="9">
        <v>1.0</v>
      </c>
      <c r="X30" s="9">
        <v>1.0</v>
      </c>
      <c r="Y30" s="9">
        <v>1.0</v>
      </c>
      <c r="Z30" s="9">
        <v>1.0</v>
      </c>
      <c r="AA30" s="9">
        <v>1.0</v>
      </c>
      <c r="AB30" s="9">
        <v>1.0</v>
      </c>
      <c r="AC30" s="9">
        <v>1.0</v>
      </c>
      <c r="AD30" s="9">
        <v>1.0</v>
      </c>
      <c r="AE30" s="9">
        <v>1.0</v>
      </c>
      <c r="AF30" s="9">
        <v>1.0</v>
      </c>
      <c r="AG30" s="9">
        <v>1.0</v>
      </c>
      <c r="AH30" s="9">
        <v>1.0</v>
      </c>
      <c r="AI30" s="9">
        <v>1.0</v>
      </c>
      <c r="AJ30" s="9">
        <v>1.0</v>
      </c>
      <c r="AK30" s="9">
        <v>1.0</v>
      </c>
      <c r="AL30" s="9">
        <v>1.0</v>
      </c>
      <c r="AM30" s="9">
        <v>1.0</v>
      </c>
      <c r="AN30" s="9">
        <v>1.0</v>
      </c>
      <c r="AO30" s="9">
        <v>1.0</v>
      </c>
    </row>
    <row r="31">
      <c r="A31" s="6" t="s">
        <v>86</v>
      </c>
      <c r="B31" s="9">
        <v>1.0</v>
      </c>
      <c r="C31" s="9">
        <v>1.0</v>
      </c>
      <c r="D31" s="9">
        <v>1.0</v>
      </c>
      <c r="E31" s="9">
        <v>1.0</v>
      </c>
      <c r="F31" s="9">
        <v>1.0</v>
      </c>
      <c r="G31" s="9">
        <v>1.0</v>
      </c>
      <c r="H31" s="9">
        <v>0.0</v>
      </c>
      <c r="I31" s="9">
        <v>0.0</v>
      </c>
      <c r="J31" s="9">
        <v>0.0</v>
      </c>
      <c r="K31" s="9">
        <v>1.0</v>
      </c>
      <c r="L31" s="9">
        <v>1.0</v>
      </c>
      <c r="M31" s="9">
        <v>1.0</v>
      </c>
      <c r="N31" s="9">
        <v>1.0</v>
      </c>
      <c r="O31" s="9">
        <v>1.0</v>
      </c>
      <c r="P31" s="9">
        <v>1.0</v>
      </c>
      <c r="Q31" s="9">
        <v>0.0</v>
      </c>
      <c r="R31" s="9">
        <v>1.0</v>
      </c>
      <c r="S31" s="9">
        <v>1.0</v>
      </c>
      <c r="T31" s="9">
        <v>1.0</v>
      </c>
      <c r="U31" s="9">
        <v>1.0</v>
      </c>
      <c r="V31" s="9">
        <v>1.0</v>
      </c>
      <c r="W31" s="9">
        <v>1.0</v>
      </c>
      <c r="X31" s="9">
        <v>0.0</v>
      </c>
      <c r="Y31" s="9">
        <v>0.0</v>
      </c>
      <c r="Z31" s="9">
        <v>0.0</v>
      </c>
      <c r="AA31" s="9">
        <v>0.0</v>
      </c>
      <c r="AB31" s="9">
        <v>1.0</v>
      </c>
      <c r="AC31" s="9">
        <v>1.0</v>
      </c>
      <c r="AD31" s="9">
        <v>1.0</v>
      </c>
      <c r="AE31" s="9">
        <v>1.0</v>
      </c>
      <c r="AF31" s="9">
        <v>1.0</v>
      </c>
      <c r="AG31" s="9">
        <v>0.0</v>
      </c>
      <c r="AH31" s="9">
        <v>0.0</v>
      </c>
      <c r="AI31" s="9">
        <v>1.0</v>
      </c>
      <c r="AJ31" s="9">
        <v>1.0</v>
      </c>
      <c r="AK31" s="9">
        <v>1.0</v>
      </c>
      <c r="AL31" s="9">
        <v>1.0</v>
      </c>
      <c r="AM31" s="9">
        <v>1.0</v>
      </c>
      <c r="AN31" s="9">
        <v>1.0</v>
      </c>
      <c r="AO31" s="9">
        <v>0.0</v>
      </c>
    </row>
    <row r="32">
      <c r="A32" s="6" t="s">
        <v>88</v>
      </c>
      <c r="B32" s="9">
        <v>0.0</v>
      </c>
      <c r="C32" s="9">
        <v>0.0</v>
      </c>
      <c r="D32" s="9">
        <v>1.0</v>
      </c>
      <c r="E32" s="9">
        <v>1.0</v>
      </c>
      <c r="F32" s="9">
        <v>1.0</v>
      </c>
      <c r="G32" s="9">
        <v>1.0</v>
      </c>
      <c r="H32" s="9">
        <v>0.0</v>
      </c>
      <c r="I32" s="9">
        <v>0.0</v>
      </c>
      <c r="J32" s="9">
        <v>1.0</v>
      </c>
      <c r="K32" s="9">
        <v>1.0</v>
      </c>
      <c r="L32" s="9">
        <v>1.0</v>
      </c>
      <c r="M32" s="9">
        <v>1.0</v>
      </c>
      <c r="N32" s="9">
        <v>1.0</v>
      </c>
      <c r="O32" s="9">
        <v>1.0</v>
      </c>
      <c r="P32" s="9">
        <v>1.0</v>
      </c>
      <c r="Q32" s="9">
        <v>0.0</v>
      </c>
      <c r="R32" s="9">
        <v>0.0</v>
      </c>
      <c r="S32" s="9">
        <v>0.0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A32" s="9">
        <v>0.0</v>
      </c>
      <c r="AB32" s="9">
        <v>0.0</v>
      </c>
      <c r="AC32" s="9">
        <v>0.0</v>
      </c>
      <c r="AD32" s="9">
        <v>0.0</v>
      </c>
      <c r="AE32" s="9">
        <v>0.0</v>
      </c>
      <c r="AF32" s="9">
        <v>0.0</v>
      </c>
      <c r="AG32" s="9">
        <v>0.0</v>
      </c>
      <c r="AH32" s="9">
        <v>0.0</v>
      </c>
      <c r="AI32" s="9">
        <v>0.0</v>
      </c>
      <c r="AJ32" s="9">
        <v>0.0</v>
      </c>
      <c r="AK32" s="9">
        <v>0.0</v>
      </c>
      <c r="AL32" s="9">
        <v>0.0</v>
      </c>
      <c r="AM32" s="9">
        <v>0.0</v>
      </c>
      <c r="AN32" s="9">
        <v>0.0</v>
      </c>
      <c r="AO32" s="9">
        <v>0.0</v>
      </c>
    </row>
    <row r="33">
      <c r="A33" s="6" t="s">
        <v>90</v>
      </c>
      <c r="B33" s="9">
        <v>1.0</v>
      </c>
      <c r="C33" s="9">
        <v>1.0</v>
      </c>
      <c r="D33" s="9">
        <v>1.0</v>
      </c>
      <c r="E33" s="9">
        <v>1.0</v>
      </c>
      <c r="F33" s="9">
        <v>1.0</v>
      </c>
      <c r="G33" s="9">
        <v>1.0</v>
      </c>
      <c r="H33" s="9">
        <v>0.0</v>
      </c>
      <c r="I33" s="9">
        <v>0.0</v>
      </c>
      <c r="J33" s="9">
        <v>1.0</v>
      </c>
      <c r="K33" s="9">
        <v>1.0</v>
      </c>
      <c r="L33" s="9">
        <v>1.0</v>
      </c>
      <c r="M33" s="9">
        <v>1.0</v>
      </c>
      <c r="N33" s="9">
        <v>1.0</v>
      </c>
      <c r="O33" s="9">
        <v>1.0</v>
      </c>
      <c r="P33" s="9">
        <v>1.0</v>
      </c>
      <c r="Q33" s="9">
        <v>1.0</v>
      </c>
      <c r="R33" s="9">
        <v>1.0</v>
      </c>
      <c r="S33" s="9">
        <v>1.0</v>
      </c>
      <c r="T33" s="9">
        <v>1.0</v>
      </c>
      <c r="U33" s="9">
        <v>1.0</v>
      </c>
      <c r="V33" s="9">
        <v>1.0</v>
      </c>
      <c r="W33" s="9">
        <v>1.0</v>
      </c>
      <c r="X33" s="9">
        <v>0.0</v>
      </c>
      <c r="Y33" s="9">
        <v>0.0</v>
      </c>
      <c r="Z33" s="9">
        <v>1.0</v>
      </c>
      <c r="AA33" s="9">
        <v>1.0</v>
      </c>
      <c r="AB33" s="9">
        <v>1.0</v>
      </c>
      <c r="AC33" s="9">
        <v>1.0</v>
      </c>
      <c r="AD33" s="9">
        <v>1.0</v>
      </c>
      <c r="AE33" s="9">
        <v>1.0</v>
      </c>
      <c r="AF33" s="9">
        <v>1.0</v>
      </c>
      <c r="AG33" s="9">
        <v>1.0</v>
      </c>
      <c r="AH33" s="9">
        <v>0.0</v>
      </c>
      <c r="AI33" s="9">
        <v>0.0</v>
      </c>
      <c r="AJ33" s="9">
        <v>0.0</v>
      </c>
      <c r="AK33" s="9">
        <v>0.0</v>
      </c>
      <c r="AL33" s="9">
        <v>0.0</v>
      </c>
      <c r="AM33" s="9">
        <v>0.0</v>
      </c>
      <c r="AN33" s="9">
        <v>0.0</v>
      </c>
      <c r="AO33" s="9">
        <v>0.0</v>
      </c>
    </row>
    <row r="34">
      <c r="A34" s="6" t="s">
        <v>92</v>
      </c>
      <c r="B34" s="9">
        <v>1.0</v>
      </c>
      <c r="C34" s="9">
        <v>1.0</v>
      </c>
      <c r="D34" s="9">
        <v>1.0</v>
      </c>
      <c r="E34" s="9">
        <v>1.0</v>
      </c>
      <c r="F34" s="9">
        <v>1.0</v>
      </c>
      <c r="G34" s="9">
        <v>1.0</v>
      </c>
      <c r="H34" s="9">
        <v>1.0</v>
      </c>
      <c r="I34" s="9">
        <v>1.0</v>
      </c>
      <c r="J34" s="9">
        <v>1.0</v>
      </c>
      <c r="K34" s="9">
        <v>1.0</v>
      </c>
      <c r="L34" s="9">
        <v>1.0</v>
      </c>
      <c r="M34" s="9">
        <v>1.0</v>
      </c>
      <c r="N34" s="9">
        <v>1.0</v>
      </c>
      <c r="O34" s="9">
        <v>1.0</v>
      </c>
      <c r="P34" s="9">
        <v>1.0</v>
      </c>
      <c r="Q34" s="9">
        <v>1.0</v>
      </c>
      <c r="R34" s="9">
        <v>1.0</v>
      </c>
      <c r="S34" s="9">
        <v>1.0</v>
      </c>
      <c r="T34" s="9">
        <v>1.0</v>
      </c>
      <c r="U34" s="9">
        <v>1.0</v>
      </c>
      <c r="V34" s="9">
        <v>1.0</v>
      </c>
      <c r="W34" s="9">
        <v>1.0</v>
      </c>
      <c r="X34" s="9">
        <v>1.0</v>
      </c>
      <c r="Y34" s="9">
        <v>1.0</v>
      </c>
      <c r="Z34" s="9">
        <v>1.0</v>
      </c>
      <c r="AA34" s="9">
        <v>1.0</v>
      </c>
      <c r="AB34" s="9">
        <v>1.0</v>
      </c>
      <c r="AC34" s="9">
        <v>1.0</v>
      </c>
      <c r="AD34" s="9">
        <v>1.0</v>
      </c>
      <c r="AE34" s="9">
        <v>1.0</v>
      </c>
      <c r="AF34" s="9">
        <v>1.0</v>
      </c>
      <c r="AG34" s="9">
        <v>1.0</v>
      </c>
      <c r="AH34" s="9">
        <v>1.0</v>
      </c>
      <c r="AI34" s="9">
        <v>1.0</v>
      </c>
      <c r="AJ34" s="9">
        <v>1.0</v>
      </c>
      <c r="AK34" s="9">
        <v>1.0</v>
      </c>
      <c r="AL34" s="9">
        <v>1.0</v>
      </c>
      <c r="AM34" s="9">
        <v>1.0</v>
      </c>
      <c r="AN34" s="9">
        <v>1.0</v>
      </c>
      <c r="AO34" s="9">
        <v>1.0</v>
      </c>
    </row>
    <row r="35">
      <c r="A35" s="6" t="s">
        <v>95</v>
      </c>
      <c r="B35" s="9">
        <v>1.0</v>
      </c>
      <c r="C35" s="9">
        <v>1.0</v>
      </c>
      <c r="D35" s="9">
        <v>1.0</v>
      </c>
      <c r="E35" s="9">
        <v>1.0</v>
      </c>
      <c r="F35" s="9">
        <v>1.0</v>
      </c>
      <c r="G35" s="9">
        <v>1.0</v>
      </c>
      <c r="H35" s="9">
        <v>1.0</v>
      </c>
      <c r="I35" s="9">
        <v>1.0</v>
      </c>
      <c r="J35" s="9">
        <v>1.0</v>
      </c>
      <c r="K35" s="9">
        <v>1.0</v>
      </c>
      <c r="L35" s="9">
        <v>1.0</v>
      </c>
      <c r="M35" s="9">
        <v>1.0</v>
      </c>
      <c r="N35" s="9">
        <v>1.0</v>
      </c>
      <c r="O35" s="9">
        <v>1.0</v>
      </c>
      <c r="P35" s="9">
        <v>1.0</v>
      </c>
      <c r="Q35" s="9">
        <v>1.0</v>
      </c>
      <c r="R35" s="9">
        <v>1.0</v>
      </c>
      <c r="S35" s="9">
        <v>1.0</v>
      </c>
      <c r="T35" s="9">
        <v>1.0</v>
      </c>
      <c r="U35" s="9">
        <v>1.0</v>
      </c>
      <c r="V35" s="9">
        <v>1.0</v>
      </c>
      <c r="W35" s="9">
        <v>1.0</v>
      </c>
      <c r="X35" s="9">
        <v>1.0</v>
      </c>
      <c r="Y35" s="9">
        <v>1.0</v>
      </c>
      <c r="Z35" s="9">
        <v>1.0</v>
      </c>
      <c r="AA35" s="9">
        <v>1.0</v>
      </c>
      <c r="AB35" s="9">
        <v>1.0</v>
      </c>
      <c r="AC35" s="9">
        <v>1.0</v>
      </c>
      <c r="AD35" s="9">
        <v>1.0</v>
      </c>
      <c r="AE35" s="9">
        <v>1.0</v>
      </c>
      <c r="AF35" s="9">
        <v>1.0</v>
      </c>
      <c r="AG35" s="9">
        <v>1.0</v>
      </c>
      <c r="AH35" s="9">
        <v>1.0</v>
      </c>
      <c r="AI35" s="9">
        <v>1.0</v>
      </c>
      <c r="AJ35" s="9">
        <v>1.0</v>
      </c>
      <c r="AK35" s="9">
        <v>1.0</v>
      </c>
      <c r="AL35" s="9">
        <v>1.0</v>
      </c>
      <c r="AM35" s="9">
        <v>1.0</v>
      </c>
      <c r="AN35" s="9">
        <v>1.0</v>
      </c>
      <c r="AO35" s="9">
        <v>1.0</v>
      </c>
    </row>
    <row r="36">
      <c r="A36" s="6" t="s">
        <v>97</v>
      </c>
      <c r="B36" s="9">
        <v>0.0</v>
      </c>
      <c r="C36" s="9">
        <v>0.0</v>
      </c>
      <c r="D36" s="9">
        <v>0.0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1.0</v>
      </c>
      <c r="K36" s="9">
        <v>1.0</v>
      </c>
      <c r="L36" s="9">
        <v>1.0</v>
      </c>
      <c r="M36" s="9">
        <v>1.0</v>
      </c>
      <c r="N36" s="9">
        <v>1.0</v>
      </c>
      <c r="O36" s="9">
        <v>1.0</v>
      </c>
      <c r="P36" s="9">
        <v>1.0</v>
      </c>
      <c r="Q36" s="9">
        <v>1.0</v>
      </c>
      <c r="R36" s="9">
        <v>1.0</v>
      </c>
      <c r="S36" s="9">
        <v>1.0</v>
      </c>
      <c r="T36" s="9">
        <v>1.0</v>
      </c>
      <c r="U36" s="9">
        <v>1.0</v>
      </c>
      <c r="V36" s="9">
        <v>1.0</v>
      </c>
      <c r="W36" s="9">
        <v>0.0</v>
      </c>
      <c r="X36" s="9">
        <v>0.0</v>
      </c>
      <c r="Y36" s="9">
        <v>0.0</v>
      </c>
      <c r="Z36" s="9">
        <v>1.0</v>
      </c>
      <c r="AA36" s="9">
        <v>1.0</v>
      </c>
      <c r="AB36" s="9">
        <v>1.0</v>
      </c>
      <c r="AC36" s="9">
        <v>1.0</v>
      </c>
      <c r="AD36" s="9">
        <v>1.0</v>
      </c>
      <c r="AE36" s="9">
        <v>1.0</v>
      </c>
      <c r="AF36" s="9">
        <v>1.0</v>
      </c>
      <c r="AG36" s="9">
        <v>1.0</v>
      </c>
      <c r="AH36" s="9">
        <v>1.0</v>
      </c>
      <c r="AI36" s="9">
        <v>1.0</v>
      </c>
      <c r="AJ36" s="9">
        <v>1.0</v>
      </c>
      <c r="AK36" s="9">
        <v>1.0</v>
      </c>
      <c r="AL36" s="9">
        <v>1.0</v>
      </c>
      <c r="AM36" s="9">
        <v>1.0</v>
      </c>
      <c r="AN36" s="9">
        <v>1.0</v>
      </c>
      <c r="AO36" s="9">
        <v>1.0</v>
      </c>
    </row>
    <row r="37">
      <c r="A37" s="6" t="s">
        <v>100</v>
      </c>
      <c r="B37" s="9">
        <v>1.0</v>
      </c>
      <c r="C37" s="9">
        <v>1.0</v>
      </c>
      <c r="D37" s="9">
        <v>1.0</v>
      </c>
      <c r="E37" s="9">
        <v>1.0</v>
      </c>
      <c r="F37" s="9">
        <v>1.0</v>
      </c>
      <c r="G37" s="9">
        <v>1.0</v>
      </c>
      <c r="H37" s="9">
        <v>0.0</v>
      </c>
      <c r="I37" s="9">
        <v>0.0</v>
      </c>
      <c r="J37" s="9">
        <v>1.0</v>
      </c>
      <c r="K37" s="9">
        <v>1.0</v>
      </c>
      <c r="L37" s="9">
        <v>1.0</v>
      </c>
      <c r="M37" s="9">
        <v>1.0</v>
      </c>
      <c r="N37" s="9">
        <v>1.0</v>
      </c>
      <c r="O37" s="9">
        <v>1.0</v>
      </c>
      <c r="P37" s="9">
        <v>0.0</v>
      </c>
      <c r="Q37" s="9">
        <v>0.0</v>
      </c>
      <c r="R37" s="9">
        <v>1.0</v>
      </c>
      <c r="S37" s="9">
        <v>1.0</v>
      </c>
      <c r="T37" s="9">
        <v>1.0</v>
      </c>
      <c r="U37" s="9">
        <v>1.0</v>
      </c>
      <c r="V37" s="9">
        <v>1.0</v>
      </c>
      <c r="W37" s="9">
        <v>1.0</v>
      </c>
      <c r="X37" s="9">
        <v>0.0</v>
      </c>
      <c r="Y37" s="9">
        <v>0.0</v>
      </c>
      <c r="Z37" s="9">
        <v>1.0</v>
      </c>
      <c r="AA37" s="9">
        <v>1.0</v>
      </c>
      <c r="AB37" s="9">
        <v>1.0</v>
      </c>
      <c r="AC37" s="9">
        <v>1.0</v>
      </c>
      <c r="AD37" s="9">
        <v>1.0</v>
      </c>
      <c r="AE37" s="9">
        <v>1.0</v>
      </c>
      <c r="AF37" s="9">
        <v>0.0</v>
      </c>
      <c r="AG37" s="9">
        <v>0.0</v>
      </c>
      <c r="AH37" s="9">
        <v>1.0</v>
      </c>
      <c r="AI37" s="9">
        <v>1.0</v>
      </c>
      <c r="AJ37" s="9">
        <v>1.0</v>
      </c>
      <c r="AK37" s="9">
        <v>1.0</v>
      </c>
      <c r="AL37" s="9">
        <v>1.0</v>
      </c>
      <c r="AM37" s="9">
        <v>1.0</v>
      </c>
      <c r="AN37" s="9">
        <v>0.0</v>
      </c>
      <c r="AO37" s="9">
        <v>0.0</v>
      </c>
    </row>
    <row r="38">
      <c r="A38" s="6" t="s">
        <v>102</v>
      </c>
      <c r="B38" s="9">
        <v>0.0</v>
      </c>
      <c r="C38" s="9">
        <v>0.0</v>
      </c>
      <c r="D38" s="9">
        <v>0.0</v>
      </c>
      <c r="E38" s="9">
        <v>0.0</v>
      </c>
      <c r="F38" s="9">
        <v>0.0</v>
      </c>
      <c r="G38" s="9">
        <v>0.0</v>
      </c>
      <c r="H38" s="9">
        <v>0.0</v>
      </c>
      <c r="I38" s="9">
        <v>0.0</v>
      </c>
      <c r="J38" s="9">
        <v>1.0</v>
      </c>
      <c r="K38" s="9">
        <v>1.0</v>
      </c>
      <c r="L38" s="9">
        <v>1.0</v>
      </c>
      <c r="M38" s="9">
        <v>1.0</v>
      </c>
      <c r="N38" s="9">
        <v>1.0</v>
      </c>
      <c r="O38" s="9">
        <v>1.0</v>
      </c>
      <c r="P38" s="9">
        <v>1.0</v>
      </c>
      <c r="Q38" s="9">
        <v>1.0</v>
      </c>
      <c r="R38" s="9">
        <v>1.0</v>
      </c>
      <c r="S38" s="9">
        <v>1.0</v>
      </c>
      <c r="T38" s="9">
        <v>1.0</v>
      </c>
      <c r="U38" s="9">
        <v>1.0</v>
      </c>
      <c r="V38" s="9">
        <v>1.0</v>
      </c>
      <c r="W38" s="9">
        <v>1.0</v>
      </c>
      <c r="X38" s="9">
        <v>0.0</v>
      </c>
      <c r="Y38" s="9">
        <v>0.0</v>
      </c>
      <c r="Z38" s="9">
        <v>0.0</v>
      </c>
      <c r="AA38" s="9">
        <v>0.0</v>
      </c>
      <c r="AB38" s="9">
        <v>0.0</v>
      </c>
      <c r="AC38" s="9">
        <v>0.0</v>
      </c>
      <c r="AD38" s="9">
        <v>0.0</v>
      </c>
      <c r="AE38" s="9">
        <v>0.0</v>
      </c>
      <c r="AF38" s="9">
        <v>0.0</v>
      </c>
      <c r="AG38" s="9">
        <v>0.0</v>
      </c>
      <c r="AH38" s="9">
        <v>1.0</v>
      </c>
      <c r="AI38" s="9">
        <v>1.0</v>
      </c>
      <c r="AJ38" s="9">
        <v>1.0</v>
      </c>
      <c r="AK38" s="9">
        <v>1.0</v>
      </c>
      <c r="AL38" s="9">
        <v>1.0</v>
      </c>
      <c r="AM38" s="9">
        <v>1.0</v>
      </c>
      <c r="AN38" s="9">
        <v>1.0</v>
      </c>
      <c r="AO38" s="9">
        <v>1.0</v>
      </c>
    </row>
    <row r="39">
      <c r="A39" s="6" t="s">
        <v>104</v>
      </c>
      <c r="B39" s="9">
        <v>1.0</v>
      </c>
      <c r="C39" s="9">
        <v>1.0</v>
      </c>
      <c r="D39" s="9">
        <v>1.0</v>
      </c>
      <c r="E39" s="9">
        <v>1.0</v>
      </c>
      <c r="F39" s="9">
        <v>1.0</v>
      </c>
      <c r="G39" s="9">
        <v>0.0</v>
      </c>
      <c r="H39" s="9">
        <v>0.0</v>
      </c>
      <c r="I39" s="9">
        <v>0.0</v>
      </c>
      <c r="J39" s="9">
        <v>1.0</v>
      </c>
      <c r="K39" s="9">
        <v>1.0</v>
      </c>
      <c r="L39" s="9">
        <v>1.0</v>
      </c>
      <c r="M39" s="9">
        <v>1.0</v>
      </c>
      <c r="N39" s="9">
        <v>1.0</v>
      </c>
      <c r="O39" s="9">
        <v>0.0</v>
      </c>
      <c r="P39" s="9">
        <v>0.0</v>
      </c>
      <c r="Q39" s="9">
        <v>0.0</v>
      </c>
      <c r="R39" s="9">
        <v>1.0</v>
      </c>
      <c r="S39" s="9">
        <v>1.0</v>
      </c>
      <c r="T39" s="9">
        <v>1.0</v>
      </c>
      <c r="U39" s="9">
        <v>1.0</v>
      </c>
      <c r="V39" s="9">
        <v>1.0</v>
      </c>
      <c r="W39" s="9">
        <v>0.0</v>
      </c>
      <c r="X39" s="9">
        <v>0.0</v>
      </c>
      <c r="Y39" s="9">
        <v>0.0</v>
      </c>
      <c r="Z39" s="9">
        <v>0.0</v>
      </c>
      <c r="AA39" s="9">
        <v>0.0</v>
      </c>
      <c r="AB39" s="9">
        <v>0.0</v>
      </c>
      <c r="AC39" s="9">
        <v>0.0</v>
      </c>
      <c r="AD39" s="9">
        <v>0.0</v>
      </c>
      <c r="AE39" s="9">
        <v>0.0</v>
      </c>
      <c r="AF39" s="9">
        <v>0.0</v>
      </c>
      <c r="AG39" s="9">
        <v>0.0</v>
      </c>
      <c r="AH39" s="9">
        <v>1.0</v>
      </c>
      <c r="AI39" s="9">
        <v>1.0</v>
      </c>
      <c r="AJ39" s="9">
        <v>1.0</v>
      </c>
      <c r="AK39" s="9">
        <v>1.0</v>
      </c>
      <c r="AL39" s="9">
        <v>1.0</v>
      </c>
      <c r="AM39" s="9">
        <v>0.0</v>
      </c>
      <c r="AN39" s="9">
        <v>0.0</v>
      </c>
      <c r="AO39" s="9">
        <v>0.0</v>
      </c>
    </row>
    <row r="40">
      <c r="A40" s="6" t="s">
        <v>106</v>
      </c>
      <c r="B40" s="9">
        <v>1.0</v>
      </c>
      <c r="C40" s="9">
        <v>1.0</v>
      </c>
      <c r="D40" s="9">
        <v>1.0</v>
      </c>
      <c r="E40" s="9">
        <v>1.0</v>
      </c>
      <c r="F40" s="9">
        <v>1.0</v>
      </c>
      <c r="G40" s="9">
        <v>0.0</v>
      </c>
      <c r="H40" s="9">
        <v>0.0</v>
      </c>
      <c r="I40" s="9">
        <v>0.0</v>
      </c>
      <c r="J40" s="9">
        <v>0.0</v>
      </c>
      <c r="K40" s="9">
        <v>0.0</v>
      </c>
      <c r="L40" s="9">
        <v>1.0</v>
      </c>
      <c r="M40" s="9">
        <v>1.0</v>
      </c>
      <c r="N40" s="9">
        <v>1.0</v>
      </c>
      <c r="O40" s="9">
        <v>0.0</v>
      </c>
      <c r="P40" s="9">
        <v>0.0</v>
      </c>
      <c r="Q40" s="9">
        <v>0.0</v>
      </c>
      <c r="R40" s="9">
        <v>1.0</v>
      </c>
      <c r="S40" s="9">
        <v>1.0</v>
      </c>
      <c r="T40" s="9">
        <v>1.0</v>
      </c>
      <c r="U40" s="9">
        <v>1.0</v>
      </c>
      <c r="V40" s="9">
        <v>1.0</v>
      </c>
      <c r="W40" s="9">
        <v>0.0</v>
      </c>
      <c r="X40" s="9">
        <v>0.0</v>
      </c>
      <c r="Y40" s="9">
        <v>0.0</v>
      </c>
      <c r="Z40" s="9">
        <v>1.0</v>
      </c>
      <c r="AA40" s="9">
        <v>1.0</v>
      </c>
      <c r="AB40" s="9">
        <v>1.0</v>
      </c>
      <c r="AC40" s="9">
        <v>1.0</v>
      </c>
      <c r="AD40" s="9">
        <v>1.0</v>
      </c>
      <c r="AE40" s="9">
        <v>0.0</v>
      </c>
      <c r="AF40" s="9">
        <v>0.0</v>
      </c>
      <c r="AG40" s="9">
        <v>0.0</v>
      </c>
      <c r="AH40" s="9">
        <v>1.0</v>
      </c>
      <c r="AI40" s="9">
        <v>1.0</v>
      </c>
      <c r="AJ40" s="9">
        <v>1.0</v>
      </c>
      <c r="AK40" s="9">
        <v>1.0</v>
      </c>
      <c r="AL40" s="9">
        <v>1.0</v>
      </c>
      <c r="AM40" s="9">
        <v>0.0</v>
      </c>
      <c r="AN40" s="9">
        <v>0.0</v>
      </c>
      <c r="AO40" s="9">
        <v>0.0</v>
      </c>
    </row>
    <row r="41">
      <c r="A41" s="6" t="s">
        <v>108</v>
      </c>
      <c r="B41" s="9">
        <v>1.0</v>
      </c>
      <c r="C41" s="9">
        <v>1.0</v>
      </c>
      <c r="D41" s="9">
        <v>1.0</v>
      </c>
      <c r="E41" s="9">
        <v>1.0</v>
      </c>
      <c r="F41" s="9">
        <v>1.0</v>
      </c>
      <c r="G41" s="9">
        <v>1.0</v>
      </c>
      <c r="H41" s="9">
        <v>1.0</v>
      </c>
      <c r="I41" s="9">
        <v>1.0</v>
      </c>
      <c r="J41" s="9">
        <v>1.0</v>
      </c>
      <c r="K41" s="9">
        <v>1.0</v>
      </c>
      <c r="L41" s="9">
        <v>1.0</v>
      </c>
      <c r="M41" s="9">
        <v>1.0</v>
      </c>
      <c r="N41" s="9">
        <v>1.0</v>
      </c>
      <c r="O41" s="9">
        <v>1.0</v>
      </c>
      <c r="P41" s="9">
        <v>1.0</v>
      </c>
      <c r="Q41" s="9">
        <v>1.0</v>
      </c>
      <c r="R41" s="9">
        <v>1.0</v>
      </c>
      <c r="S41" s="9">
        <v>1.0</v>
      </c>
      <c r="T41" s="9">
        <v>1.0</v>
      </c>
      <c r="U41" s="9">
        <v>1.0</v>
      </c>
      <c r="V41" s="9">
        <v>1.0</v>
      </c>
      <c r="W41" s="9">
        <v>1.0</v>
      </c>
      <c r="X41" s="9">
        <v>1.0</v>
      </c>
      <c r="Y41" s="9">
        <v>1.0</v>
      </c>
      <c r="Z41" s="9">
        <v>1.0</v>
      </c>
      <c r="AA41" s="9">
        <v>1.0</v>
      </c>
      <c r="AB41" s="9">
        <v>1.0</v>
      </c>
      <c r="AC41" s="9">
        <v>1.0</v>
      </c>
      <c r="AD41" s="9">
        <v>1.0</v>
      </c>
      <c r="AE41" s="9">
        <v>1.0</v>
      </c>
      <c r="AF41" s="9">
        <v>1.0</v>
      </c>
      <c r="AG41" s="9">
        <v>1.0</v>
      </c>
      <c r="AH41" s="9">
        <v>1.0</v>
      </c>
      <c r="AI41" s="9">
        <v>1.0</v>
      </c>
      <c r="AJ41" s="9">
        <v>1.0</v>
      </c>
      <c r="AK41" s="9">
        <v>1.0</v>
      </c>
      <c r="AL41" s="9">
        <v>1.0</v>
      </c>
      <c r="AM41" s="9">
        <v>1.0</v>
      </c>
      <c r="AN41" s="9">
        <v>1.0</v>
      </c>
      <c r="AO41" s="9">
        <v>1.0</v>
      </c>
    </row>
    <row r="42">
      <c r="A42" s="6" t="s">
        <v>110</v>
      </c>
      <c r="B42" s="9">
        <v>1.0</v>
      </c>
      <c r="C42" s="9">
        <v>1.0</v>
      </c>
      <c r="D42" s="9">
        <v>1.0</v>
      </c>
      <c r="E42" s="9">
        <v>1.0</v>
      </c>
      <c r="F42" s="9">
        <v>1.0</v>
      </c>
      <c r="G42" s="9">
        <v>1.0</v>
      </c>
      <c r="H42" s="9">
        <v>1.0</v>
      </c>
      <c r="I42" s="9">
        <v>1.0</v>
      </c>
      <c r="J42" s="9">
        <v>1.0</v>
      </c>
      <c r="K42" s="9">
        <v>1.0</v>
      </c>
      <c r="L42" s="9">
        <v>1.0</v>
      </c>
      <c r="M42" s="9">
        <v>1.0</v>
      </c>
      <c r="N42" s="9">
        <v>1.0</v>
      </c>
      <c r="O42" s="9">
        <v>1.0</v>
      </c>
      <c r="P42" s="9">
        <v>1.0</v>
      </c>
      <c r="Q42" s="9">
        <v>1.0</v>
      </c>
      <c r="R42" s="9">
        <v>1.0</v>
      </c>
      <c r="S42" s="9">
        <v>1.0</v>
      </c>
      <c r="T42" s="9">
        <v>1.0</v>
      </c>
      <c r="U42" s="9">
        <v>1.0</v>
      </c>
      <c r="V42" s="9">
        <v>1.0</v>
      </c>
      <c r="W42" s="9">
        <v>1.0</v>
      </c>
      <c r="X42" s="9">
        <v>1.0</v>
      </c>
      <c r="Y42" s="9">
        <v>1.0</v>
      </c>
      <c r="Z42" s="9">
        <v>1.0</v>
      </c>
      <c r="AA42" s="9">
        <v>1.0</v>
      </c>
      <c r="AB42" s="9">
        <v>1.0</v>
      </c>
      <c r="AC42" s="9">
        <v>1.0</v>
      </c>
      <c r="AD42" s="9">
        <v>1.0</v>
      </c>
      <c r="AE42" s="9">
        <v>1.0</v>
      </c>
      <c r="AF42" s="9">
        <v>1.0</v>
      </c>
      <c r="AG42" s="9">
        <v>1.0</v>
      </c>
      <c r="AH42" s="9">
        <v>1.0</v>
      </c>
      <c r="AI42" s="9">
        <v>1.0</v>
      </c>
      <c r="AJ42" s="9">
        <v>1.0</v>
      </c>
      <c r="AK42" s="9">
        <v>1.0</v>
      </c>
      <c r="AL42" s="9">
        <v>1.0</v>
      </c>
      <c r="AM42" s="9">
        <v>1.0</v>
      </c>
      <c r="AN42" s="9">
        <v>1.0</v>
      </c>
      <c r="AO42" s="9">
        <v>1.0</v>
      </c>
    </row>
    <row r="43">
      <c r="A43" s="6" t="s">
        <v>112</v>
      </c>
      <c r="B43" s="9">
        <v>1.0</v>
      </c>
      <c r="C43" s="9">
        <v>1.0</v>
      </c>
      <c r="D43" s="9">
        <v>1.0</v>
      </c>
      <c r="E43" s="9">
        <v>1.0</v>
      </c>
      <c r="F43" s="9">
        <v>1.0</v>
      </c>
      <c r="G43" s="9">
        <v>1.0</v>
      </c>
      <c r="H43" s="9">
        <v>0.0</v>
      </c>
      <c r="I43" s="9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0.0</v>
      </c>
      <c r="O43" s="9">
        <v>0.0</v>
      </c>
      <c r="P43" s="9">
        <v>0.0</v>
      </c>
      <c r="Q43" s="9">
        <v>0.0</v>
      </c>
      <c r="R43" s="9">
        <v>1.0</v>
      </c>
      <c r="S43" s="9">
        <v>1.0</v>
      </c>
      <c r="T43" s="9">
        <v>1.0</v>
      </c>
      <c r="U43" s="9">
        <v>1.0</v>
      </c>
      <c r="V43" s="9">
        <v>1.0</v>
      </c>
      <c r="W43" s="9">
        <v>1.0</v>
      </c>
      <c r="X43" s="9">
        <v>0.0</v>
      </c>
      <c r="Y43" s="9">
        <v>0.0</v>
      </c>
      <c r="Z43" s="9">
        <v>0.0</v>
      </c>
      <c r="AA43" s="9">
        <v>0.0</v>
      </c>
      <c r="AB43" s="9">
        <v>0.0</v>
      </c>
      <c r="AC43" s="9">
        <v>0.0</v>
      </c>
      <c r="AD43" s="9">
        <v>0.0</v>
      </c>
      <c r="AE43" s="9">
        <v>0.0</v>
      </c>
      <c r="AF43" s="9">
        <v>0.0</v>
      </c>
      <c r="AG43" s="9">
        <v>0.0</v>
      </c>
      <c r="AH43" s="9">
        <v>0.0</v>
      </c>
      <c r="AI43" s="9">
        <v>0.0</v>
      </c>
      <c r="AJ43" s="9">
        <v>0.0</v>
      </c>
      <c r="AK43" s="9">
        <v>0.0</v>
      </c>
      <c r="AL43" s="9">
        <v>0.0</v>
      </c>
      <c r="AM43" s="9">
        <v>1.0</v>
      </c>
      <c r="AN43" s="9">
        <v>1.0</v>
      </c>
      <c r="AO43" s="9">
        <v>1.0</v>
      </c>
    </row>
    <row r="44">
      <c r="A44" s="6" t="s">
        <v>114</v>
      </c>
      <c r="B44" s="9">
        <v>0.0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1.0</v>
      </c>
      <c r="K44" s="9">
        <v>1.0</v>
      </c>
      <c r="L44" s="9">
        <v>1.0</v>
      </c>
      <c r="M44" s="9">
        <v>1.0</v>
      </c>
      <c r="N44" s="9">
        <v>1.0</v>
      </c>
      <c r="O44" s="9">
        <v>1.0</v>
      </c>
      <c r="P44" s="9">
        <v>0.0</v>
      </c>
      <c r="Q44" s="9">
        <v>0.0</v>
      </c>
      <c r="R44" s="9">
        <v>0.0</v>
      </c>
      <c r="S44" s="9">
        <v>0.0</v>
      </c>
      <c r="T44" s="9">
        <v>0.0</v>
      </c>
      <c r="U44" s="9">
        <v>0.0</v>
      </c>
      <c r="V44" s="9">
        <v>0.0</v>
      </c>
      <c r="W44" s="9">
        <v>0.0</v>
      </c>
      <c r="X44" s="9">
        <v>0.0</v>
      </c>
      <c r="Y44" s="9">
        <v>0.0</v>
      </c>
      <c r="Z44" s="9">
        <v>1.0</v>
      </c>
      <c r="AA44" s="9">
        <v>1.0</v>
      </c>
      <c r="AB44" s="9">
        <v>1.0</v>
      </c>
      <c r="AC44" s="9">
        <v>1.0</v>
      </c>
      <c r="AD44" s="9">
        <v>1.0</v>
      </c>
      <c r="AE44" s="9">
        <v>1.0</v>
      </c>
      <c r="AF44" s="9">
        <v>0.0</v>
      </c>
      <c r="AG44" s="9">
        <v>0.0</v>
      </c>
      <c r="AH44" s="9">
        <v>1.0</v>
      </c>
      <c r="AI44" s="9">
        <v>1.0</v>
      </c>
      <c r="AJ44" s="9">
        <v>1.0</v>
      </c>
      <c r="AK44" s="9">
        <v>1.0</v>
      </c>
      <c r="AL44" s="9">
        <v>1.0</v>
      </c>
      <c r="AM44" s="9">
        <v>1.0</v>
      </c>
      <c r="AN44" s="9">
        <v>1.0</v>
      </c>
      <c r="AO44" s="9">
        <v>0.0</v>
      </c>
    </row>
    <row r="45">
      <c r="A45" s="6" t="s">
        <v>116</v>
      </c>
      <c r="B45" s="9">
        <v>0.0</v>
      </c>
      <c r="C45" s="9">
        <v>0.0</v>
      </c>
      <c r="D45" s="9">
        <v>0.0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0.0</v>
      </c>
      <c r="K45" s="9">
        <v>0.0</v>
      </c>
      <c r="L45" s="9">
        <v>1.0</v>
      </c>
      <c r="M45" s="9">
        <v>1.0</v>
      </c>
      <c r="N45" s="9">
        <v>1.0</v>
      </c>
      <c r="O45" s="9">
        <v>1.0</v>
      </c>
      <c r="P45" s="9">
        <v>1.0</v>
      </c>
      <c r="Q45" s="9">
        <v>1.0</v>
      </c>
      <c r="R45" s="9">
        <v>0.0</v>
      </c>
      <c r="S45" s="9">
        <v>0.0</v>
      </c>
      <c r="T45" s="9">
        <v>0.0</v>
      </c>
      <c r="U45" s="9">
        <v>0.0</v>
      </c>
      <c r="V45" s="9">
        <v>0.0</v>
      </c>
      <c r="W45" s="9">
        <v>0.0</v>
      </c>
      <c r="X45" s="9">
        <v>0.0</v>
      </c>
      <c r="Y45" s="9">
        <v>0.0</v>
      </c>
      <c r="Z45" s="9">
        <v>0.0</v>
      </c>
      <c r="AA45" s="9">
        <v>0.0</v>
      </c>
      <c r="AB45" s="9">
        <v>1.0</v>
      </c>
      <c r="AC45" s="9">
        <v>1.0</v>
      </c>
      <c r="AD45" s="9">
        <v>1.0</v>
      </c>
      <c r="AE45" s="9">
        <v>1.0</v>
      </c>
      <c r="AF45" s="9">
        <v>1.0</v>
      </c>
      <c r="AG45" s="9">
        <v>1.0</v>
      </c>
      <c r="AH45" s="9">
        <v>0.0</v>
      </c>
      <c r="AI45" s="9">
        <v>0.0</v>
      </c>
      <c r="AJ45" s="9">
        <v>0.0</v>
      </c>
      <c r="AK45" s="9">
        <v>0.0</v>
      </c>
      <c r="AL45" s="9">
        <v>0.0</v>
      </c>
      <c r="AM45" s="9">
        <v>0.0</v>
      </c>
      <c r="AN45" s="9">
        <v>0.0</v>
      </c>
      <c r="AO45" s="9">
        <v>0.0</v>
      </c>
    </row>
    <row r="46">
      <c r="A46" s="6" t="s">
        <v>118</v>
      </c>
      <c r="B46" s="9">
        <v>1.0</v>
      </c>
      <c r="C46" s="9">
        <v>1.0</v>
      </c>
      <c r="D46" s="9">
        <v>1.0</v>
      </c>
      <c r="E46" s="9">
        <v>1.0</v>
      </c>
      <c r="F46" s="9">
        <v>1.0</v>
      </c>
      <c r="G46" s="9">
        <v>1.0</v>
      </c>
      <c r="H46" s="9">
        <v>1.0</v>
      </c>
      <c r="I46" s="9">
        <v>1.0</v>
      </c>
      <c r="J46" s="9">
        <v>1.0</v>
      </c>
      <c r="K46" s="9">
        <v>1.0</v>
      </c>
      <c r="L46" s="9">
        <v>1.0</v>
      </c>
      <c r="M46" s="9">
        <v>1.0</v>
      </c>
      <c r="N46" s="9">
        <v>1.0</v>
      </c>
      <c r="O46" s="9">
        <v>1.0</v>
      </c>
      <c r="P46" s="9">
        <v>1.0</v>
      </c>
      <c r="Q46" s="9">
        <v>1.0</v>
      </c>
      <c r="R46" s="9">
        <v>1.0</v>
      </c>
      <c r="S46" s="9">
        <v>1.0</v>
      </c>
      <c r="T46" s="9">
        <v>1.0</v>
      </c>
      <c r="U46" s="9">
        <v>1.0</v>
      </c>
      <c r="V46" s="9">
        <v>1.0</v>
      </c>
      <c r="W46" s="9">
        <v>1.0</v>
      </c>
      <c r="X46" s="9">
        <v>1.0</v>
      </c>
      <c r="Y46" s="9">
        <v>1.0</v>
      </c>
      <c r="Z46" s="9">
        <v>1.0</v>
      </c>
      <c r="AA46" s="9">
        <v>1.0</v>
      </c>
      <c r="AB46" s="9">
        <v>1.0</v>
      </c>
      <c r="AC46" s="9">
        <v>1.0</v>
      </c>
      <c r="AD46" s="9">
        <v>1.0</v>
      </c>
      <c r="AE46" s="9">
        <v>1.0</v>
      </c>
      <c r="AF46" s="9">
        <v>1.0</v>
      </c>
      <c r="AG46" s="9">
        <v>1.0</v>
      </c>
      <c r="AH46" s="9">
        <v>1.0</v>
      </c>
      <c r="AI46" s="9">
        <v>1.0</v>
      </c>
      <c r="AJ46" s="9">
        <v>1.0</v>
      </c>
      <c r="AK46" s="9">
        <v>1.0</v>
      </c>
      <c r="AL46" s="9">
        <v>1.0</v>
      </c>
      <c r="AM46" s="9">
        <v>1.0</v>
      </c>
      <c r="AN46" s="9">
        <v>1.0</v>
      </c>
      <c r="AO46" s="9">
        <v>1.0</v>
      </c>
    </row>
    <row r="47">
      <c r="A47" s="6" t="s">
        <v>120</v>
      </c>
      <c r="B47" s="9">
        <v>1.0</v>
      </c>
      <c r="C47" s="9">
        <v>1.0</v>
      </c>
      <c r="D47" s="9">
        <v>1.0</v>
      </c>
      <c r="E47" s="9">
        <v>1.0</v>
      </c>
      <c r="F47" s="9">
        <v>1.0</v>
      </c>
      <c r="G47" s="9">
        <v>1.0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0.0</v>
      </c>
      <c r="Q47" s="9">
        <v>0.0</v>
      </c>
      <c r="R47" s="9">
        <v>0.0</v>
      </c>
      <c r="S47" s="9">
        <v>0.0</v>
      </c>
      <c r="T47" s="9">
        <v>0.0</v>
      </c>
      <c r="U47" s="9">
        <v>0.0</v>
      </c>
      <c r="V47" s="9">
        <v>0.0</v>
      </c>
      <c r="W47" s="9">
        <v>0.0</v>
      </c>
      <c r="X47" s="9">
        <v>0.0</v>
      </c>
      <c r="Y47" s="9">
        <v>0.0</v>
      </c>
      <c r="Z47" s="9">
        <v>1.0</v>
      </c>
      <c r="AA47" s="9">
        <v>1.0</v>
      </c>
      <c r="AB47" s="9">
        <v>1.0</v>
      </c>
      <c r="AC47" s="9">
        <v>1.0</v>
      </c>
      <c r="AD47" s="9">
        <v>1.0</v>
      </c>
      <c r="AE47" s="9">
        <v>1.0</v>
      </c>
      <c r="AF47" s="9">
        <v>1.0</v>
      </c>
      <c r="AG47" s="9">
        <v>1.0</v>
      </c>
      <c r="AH47" s="9">
        <v>0.0</v>
      </c>
      <c r="AI47" s="9">
        <v>0.0</v>
      </c>
      <c r="AJ47" s="9">
        <v>0.0</v>
      </c>
      <c r="AK47" s="9">
        <v>0.0</v>
      </c>
      <c r="AL47" s="9">
        <v>1.0</v>
      </c>
      <c r="AM47" s="9">
        <v>1.0</v>
      </c>
      <c r="AN47" s="9">
        <v>0.0</v>
      </c>
      <c r="AO47" s="9">
        <v>0.0</v>
      </c>
    </row>
    <row r="48">
      <c r="A48" s="6" t="s">
        <v>122</v>
      </c>
      <c r="B48" s="9">
        <v>0.0</v>
      </c>
      <c r="C48" s="9">
        <v>0.0</v>
      </c>
      <c r="D48" s="9">
        <v>1.0</v>
      </c>
      <c r="E48" s="9">
        <v>1.0</v>
      </c>
      <c r="F48" s="9">
        <v>1.0</v>
      </c>
      <c r="G48" s="9">
        <v>1.0</v>
      </c>
      <c r="H48" s="9">
        <v>0.0</v>
      </c>
      <c r="I48" s="9">
        <v>0.0</v>
      </c>
      <c r="J48" s="9">
        <v>1.0</v>
      </c>
      <c r="K48" s="9">
        <v>1.0</v>
      </c>
      <c r="L48" s="9">
        <v>1.0</v>
      </c>
      <c r="M48" s="9">
        <v>1.0</v>
      </c>
      <c r="N48" s="9">
        <v>1.0</v>
      </c>
      <c r="O48" s="9">
        <v>1.0</v>
      </c>
      <c r="P48" s="9">
        <v>1.0</v>
      </c>
      <c r="Q48" s="9">
        <v>1.0</v>
      </c>
      <c r="R48" s="9">
        <v>0.0</v>
      </c>
      <c r="S48" s="9">
        <v>0.0</v>
      </c>
      <c r="T48" s="9">
        <v>1.0</v>
      </c>
      <c r="U48" s="9">
        <v>1.0</v>
      </c>
      <c r="V48" s="9">
        <v>1.0</v>
      </c>
      <c r="W48" s="9">
        <v>1.0</v>
      </c>
      <c r="X48" s="9">
        <v>0.0</v>
      </c>
      <c r="Y48" s="9">
        <v>0.0</v>
      </c>
      <c r="Z48" s="9">
        <v>1.0</v>
      </c>
      <c r="AA48" s="9">
        <v>1.0</v>
      </c>
      <c r="AB48" s="9">
        <v>1.0</v>
      </c>
      <c r="AC48" s="9">
        <v>1.0</v>
      </c>
      <c r="AD48" s="9">
        <v>1.0</v>
      </c>
      <c r="AE48" s="9">
        <v>1.0</v>
      </c>
      <c r="AF48" s="9">
        <v>1.0</v>
      </c>
      <c r="AG48" s="9">
        <v>1.0</v>
      </c>
      <c r="AH48" s="9">
        <v>1.0</v>
      </c>
      <c r="AI48" s="9">
        <v>1.0</v>
      </c>
      <c r="AJ48" s="9">
        <v>1.0</v>
      </c>
      <c r="AK48" s="9">
        <v>1.0</v>
      </c>
      <c r="AL48" s="9">
        <v>1.0</v>
      </c>
      <c r="AM48" s="9">
        <v>1.0</v>
      </c>
      <c r="AN48" s="9">
        <v>1.0</v>
      </c>
      <c r="AO48" s="9">
        <v>1.0</v>
      </c>
    </row>
    <row r="49">
      <c r="A49" s="6" t="s">
        <v>124</v>
      </c>
      <c r="B49" s="9">
        <v>0.0</v>
      </c>
      <c r="C49" s="9">
        <v>0.0</v>
      </c>
      <c r="D49" s="9">
        <v>0.0</v>
      </c>
      <c r="E49" s="9">
        <v>0.0</v>
      </c>
      <c r="F49" s="9">
        <v>0.0</v>
      </c>
      <c r="G49" s="9">
        <v>0.0</v>
      </c>
      <c r="H49" s="9">
        <v>0.0</v>
      </c>
      <c r="I49" s="9">
        <v>0.0</v>
      </c>
      <c r="J49" s="9">
        <v>1.0</v>
      </c>
      <c r="K49" s="9">
        <v>1.0</v>
      </c>
      <c r="L49" s="9">
        <v>1.0</v>
      </c>
      <c r="M49" s="9">
        <v>1.0</v>
      </c>
      <c r="N49" s="9">
        <v>1.0</v>
      </c>
      <c r="O49" s="9">
        <v>0.0</v>
      </c>
      <c r="P49" s="9">
        <v>0.0</v>
      </c>
      <c r="Q49" s="9">
        <v>0.0</v>
      </c>
      <c r="R49" s="9">
        <v>1.0</v>
      </c>
      <c r="S49" s="9">
        <v>1.0</v>
      </c>
      <c r="T49" s="9">
        <v>1.0</v>
      </c>
      <c r="U49" s="9">
        <v>1.0</v>
      </c>
      <c r="V49" s="9">
        <v>1.0</v>
      </c>
      <c r="W49" s="9">
        <v>0.0</v>
      </c>
      <c r="X49" s="9">
        <v>0.0</v>
      </c>
      <c r="Y49" s="9">
        <v>0.0</v>
      </c>
      <c r="Z49" s="9">
        <v>1.0</v>
      </c>
      <c r="AA49" s="9">
        <v>1.0</v>
      </c>
      <c r="AB49" s="9">
        <v>1.0</v>
      </c>
      <c r="AC49" s="9">
        <v>1.0</v>
      </c>
      <c r="AD49" s="9">
        <v>1.0</v>
      </c>
      <c r="AE49" s="9">
        <v>0.0</v>
      </c>
      <c r="AF49" s="9">
        <v>0.0</v>
      </c>
      <c r="AG49" s="9">
        <v>0.0</v>
      </c>
      <c r="AH49" s="9">
        <v>1.0</v>
      </c>
      <c r="AI49" s="9">
        <v>1.0</v>
      </c>
      <c r="AJ49" s="9">
        <v>1.0</v>
      </c>
      <c r="AK49" s="9">
        <v>1.0</v>
      </c>
      <c r="AL49" s="9">
        <v>1.0</v>
      </c>
      <c r="AM49" s="9">
        <v>0.0</v>
      </c>
      <c r="AN49" s="9">
        <v>0.0</v>
      </c>
      <c r="AO49" s="9">
        <v>0.0</v>
      </c>
    </row>
    <row r="50">
      <c r="A50" s="6" t="s">
        <v>126</v>
      </c>
      <c r="B50" s="9">
        <v>1.0</v>
      </c>
      <c r="C50" s="9">
        <v>1.0</v>
      </c>
      <c r="D50" s="9">
        <v>1.0</v>
      </c>
      <c r="E50" s="9">
        <v>1.0</v>
      </c>
      <c r="F50" s="9">
        <v>1.0</v>
      </c>
      <c r="G50" s="9">
        <v>1.0</v>
      </c>
      <c r="H50" s="9">
        <v>0.0</v>
      </c>
      <c r="I50" s="9">
        <v>0.0</v>
      </c>
      <c r="J50" s="9">
        <v>1.0</v>
      </c>
      <c r="K50" s="9">
        <v>1.0</v>
      </c>
      <c r="L50" s="9">
        <v>1.0</v>
      </c>
      <c r="M50" s="9">
        <v>1.0</v>
      </c>
      <c r="N50" s="9">
        <v>1.0</v>
      </c>
      <c r="O50" s="9">
        <v>1.0</v>
      </c>
      <c r="P50" s="9">
        <v>1.0</v>
      </c>
      <c r="Q50" s="9">
        <v>1.0</v>
      </c>
      <c r="R50" s="9">
        <v>1.0</v>
      </c>
      <c r="S50" s="9">
        <v>1.0</v>
      </c>
      <c r="T50" s="9">
        <v>1.0</v>
      </c>
      <c r="U50" s="9">
        <v>1.0</v>
      </c>
      <c r="V50" s="9">
        <v>1.0</v>
      </c>
      <c r="W50" s="9">
        <v>1.0</v>
      </c>
      <c r="X50" s="9">
        <v>0.0</v>
      </c>
      <c r="Y50" s="9">
        <v>0.0</v>
      </c>
      <c r="Z50" s="9">
        <v>1.0</v>
      </c>
      <c r="AA50" s="9">
        <v>1.0</v>
      </c>
      <c r="AB50" s="9">
        <v>1.0</v>
      </c>
      <c r="AC50" s="9">
        <v>1.0</v>
      </c>
      <c r="AD50" s="9">
        <v>1.0</v>
      </c>
      <c r="AE50" s="9">
        <v>1.0</v>
      </c>
      <c r="AF50" s="9">
        <v>1.0</v>
      </c>
      <c r="AG50" s="9">
        <v>1.0</v>
      </c>
      <c r="AH50" s="9">
        <v>1.0</v>
      </c>
      <c r="AI50" s="9">
        <v>1.0</v>
      </c>
      <c r="AJ50" s="9">
        <v>1.0</v>
      </c>
      <c r="AK50" s="9">
        <v>1.0</v>
      </c>
      <c r="AL50" s="9">
        <v>1.0</v>
      </c>
      <c r="AM50" s="9">
        <v>1.0</v>
      </c>
      <c r="AN50" s="9">
        <v>1.0</v>
      </c>
      <c r="AO50" s="9">
        <v>1.0</v>
      </c>
    </row>
    <row r="51">
      <c r="A51" s="6" t="s">
        <v>128</v>
      </c>
      <c r="B51" s="9">
        <v>1.0</v>
      </c>
      <c r="C51" s="9">
        <v>1.0</v>
      </c>
      <c r="D51" s="9">
        <v>1.0</v>
      </c>
      <c r="E51" s="9">
        <v>1.0</v>
      </c>
      <c r="F51" s="9">
        <v>1.0</v>
      </c>
      <c r="G51" s="9">
        <v>1.0</v>
      </c>
      <c r="H51" s="9">
        <v>1.0</v>
      </c>
      <c r="I51" s="9">
        <v>1.0</v>
      </c>
      <c r="J51" s="9">
        <v>1.0</v>
      </c>
      <c r="K51" s="9">
        <v>1.0</v>
      </c>
      <c r="L51" s="9">
        <v>1.0</v>
      </c>
      <c r="M51" s="9">
        <v>1.0</v>
      </c>
      <c r="N51" s="9">
        <v>1.0</v>
      </c>
      <c r="O51" s="9">
        <v>1.0</v>
      </c>
      <c r="P51" s="9">
        <v>1.0</v>
      </c>
      <c r="Q51" s="9">
        <v>1.0</v>
      </c>
      <c r="R51" s="9">
        <v>1.0</v>
      </c>
      <c r="S51" s="9">
        <v>1.0</v>
      </c>
      <c r="T51" s="9">
        <v>1.0</v>
      </c>
      <c r="U51" s="9">
        <v>1.0</v>
      </c>
      <c r="V51" s="9">
        <v>1.0</v>
      </c>
      <c r="W51" s="9">
        <v>1.0</v>
      </c>
      <c r="X51" s="9">
        <v>1.0</v>
      </c>
      <c r="Y51" s="9">
        <v>1.0</v>
      </c>
      <c r="Z51" s="9">
        <v>1.0</v>
      </c>
      <c r="AA51" s="9">
        <v>1.0</v>
      </c>
      <c r="AB51" s="9">
        <v>1.0</v>
      </c>
      <c r="AC51" s="9">
        <v>1.0</v>
      </c>
      <c r="AD51" s="9">
        <v>1.0</v>
      </c>
      <c r="AE51" s="9">
        <v>1.0</v>
      </c>
      <c r="AF51" s="9">
        <v>1.0</v>
      </c>
      <c r="AG51" s="9">
        <v>1.0</v>
      </c>
      <c r="AH51" s="9">
        <v>1.0</v>
      </c>
      <c r="AI51" s="9">
        <v>1.0</v>
      </c>
      <c r="AJ51" s="9">
        <v>1.0</v>
      </c>
      <c r="AK51" s="9">
        <v>1.0</v>
      </c>
      <c r="AL51" s="9">
        <v>1.0</v>
      </c>
      <c r="AM51" s="9">
        <v>1.0</v>
      </c>
      <c r="AN51" s="9">
        <v>1.0</v>
      </c>
      <c r="AO51" s="9">
        <v>1.0</v>
      </c>
    </row>
    <row r="52">
      <c r="A52" s="6" t="s">
        <v>130</v>
      </c>
      <c r="B52" s="9">
        <v>1.0</v>
      </c>
      <c r="C52" s="9">
        <v>1.0</v>
      </c>
      <c r="D52" s="9">
        <v>1.0</v>
      </c>
      <c r="E52" s="9">
        <v>1.0</v>
      </c>
      <c r="F52" s="9">
        <v>1.0</v>
      </c>
      <c r="G52" s="9">
        <v>1.0</v>
      </c>
      <c r="H52" s="9">
        <v>1.0</v>
      </c>
      <c r="I52" s="9">
        <v>1.0</v>
      </c>
      <c r="J52" s="9">
        <v>1.0</v>
      </c>
      <c r="K52" s="9">
        <v>1.0</v>
      </c>
      <c r="L52" s="9">
        <v>1.0</v>
      </c>
      <c r="M52" s="9">
        <v>1.0</v>
      </c>
      <c r="N52" s="9">
        <v>1.0</v>
      </c>
      <c r="O52" s="9">
        <v>1.0</v>
      </c>
      <c r="P52" s="9">
        <v>1.0</v>
      </c>
      <c r="Q52" s="9">
        <v>1.0</v>
      </c>
      <c r="R52" s="9">
        <v>1.0</v>
      </c>
      <c r="S52" s="9">
        <v>1.0</v>
      </c>
      <c r="T52" s="9">
        <v>1.0</v>
      </c>
      <c r="U52" s="9">
        <v>1.0</v>
      </c>
      <c r="V52" s="9">
        <v>1.0</v>
      </c>
      <c r="W52" s="9">
        <v>1.0</v>
      </c>
      <c r="X52" s="9">
        <v>1.0</v>
      </c>
      <c r="Y52" s="9">
        <v>1.0</v>
      </c>
      <c r="Z52" s="9">
        <v>1.0</v>
      </c>
      <c r="AA52" s="9">
        <v>1.0</v>
      </c>
      <c r="AB52" s="9">
        <v>1.0</v>
      </c>
      <c r="AC52" s="9">
        <v>1.0</v>
      </c>
      <c r="AD52" s="9">
        <v>1.0</v>
      </c>
      <c r="AE52" s="9">
        <v>1.0</v>
      </c>
      <c r="AF52" s="9">
        <v>1.0</v>
      </c>
      <c r="AG52" s="9">
        <v>1.0</v>
      </c>
      <c r="AH52" s="9">
        <v>1.0</v>
      </c>
      <c r="AI52" s="9">
        <v>1.0</v>
      </c>
      <c r="AJ52" s="9">
        <v>1.0</v>
      </c>
      <c r="AK52" s="9">
        <v>1.0</v>
      </c>
      <c r="AL52" s="9">
        <v>1.0</v>
      </c>
      <c r="AM52" s="9">
        <v>1.0</v>
      </c>
      <c r="AN52" s="9">
        <v>1.0</v>
      </c>
      <c r="AO52" s="9">
        <v>1.0</v>
      </c>
    </row>
    <row r="53">
      <c r="A53" s="6" t="s">
        <v>132</v>
      </c>
      <c r="B53" s="9">
        <v>1.0</v>
      </c>
      <c r="C53" s="9">
        <v>1.0</v>
      </c>
      <c r="D53" s="9">
        <v>1.0</v>
      </c>
      <c r="E53" s="9">
        <v>1.0</v>
      </c>
      <c r="F53" s="9">
        <v>1.0</v>
      </c>
      <c r="G53" s="9">
        <v>1.0</v>
      </c>
      <c r="H53" s="9">
        <v>1.0</v>
      </c>
      <c r="I53" s="9">
        <v>1.0</v>
      </c>
      <c r="J53" s="9">
        <v>1.0</v>
      </c>
      <c r="K53" s="9">
        <v>1.0</v>
      </c>
      <c r="L53" s="9">
        <v>1.0</v>
      </c>
      <c r="M53" s="9">
        <v>1.0</v>
      </c>
      <c r="N53" s="9">
        <v>1.0</v>
      </c>
      <c r="O53" s="9">
        <v>1.0</v>
      </c>
      <c r="P53" s="9">
        <v>1.0</v>
      </c>
      <c r="Q53" s="9">
        <v>1.0</v>
      </c>
      <c r="R53" s="9">
        <v>1.0</v>
      </c>
      <c r="S53" s="9">
        <v>1.0</v>
      </c>
      <c r="T53" s="9">
        <v>1.0</v>
      </c>
      <c r="U53" s="9">
        <v>1.0</v>
      </c>
      <c r="V53" s="9">
        <v>1.0</v>
      </c>
      <c r="W53" s="9">
        <v>1.0</v>
      </c>
      <c r="X53" s="9">
        <v>1.0</v>
      </c>
      <c r="Y53" s="9">
        <v>1.0</v>
      </c>
      <c r="Z53" s="9">
        <v>1.0</v>
      </c>
      <c r="AA53" s="9">
        <v>1.0</v>
      </c>
      <c r="AB53" s="9">
        <v>1.0</v>
      </c>
      <c r="AC53" s="9">
        <v>1.0</v>
      </c>
      <c r="AD53" s="9">
        <v>1.0</v>
      </c>
      <c r="AE53" s="9">
        <v>1.0</v>
      </c>
      <c r="AF53" s="9">
        <v>1.0</v>
      </c>
      <c r="AG53" s="9">
        <v>1.0</v>
      </c>
      <c r="AH53" s="9">
        <v>1.0</v>
      </c>
      <c r="AI53" s="9">
        <v>1.0</v>
      </c>
      <c r="AJ53" s="9">
        <v>1.0</v>
      </c>
      <c r="AK53" s="9">
        <v>1.0</v>
      </c>
      <c r="AL53" s="9">
        <v>1.0</v>
      </c>
      <c r="AM53" s="9">
        <v>1.0</v>
      </c>
      <c r="AN53" s="9">
        <v>1.0</v>
      </c>
      <c r="AO53" s="9">
        <v>1.0</v>
      </c>
    </row>
    <row r="54">
      <c r="A54" s="6" t="s">
        <v>134</v>
      </c>
      <c r="B54" s="9">
        <v>0.0</v>
      </c>
      <c r="C54" s="9">
        <v>0.0</v>
      </c>
      <c r="D54" s="9">
        <v>0.0</v>
      </c>
      <c r="E54" s="9">
        <v>0.0</v>
      </c>
      <c r="F54" s="9">
        <v>0.0</v>
      </c>
      <c r="G54" s="9">
        <v>0.0</v>
      </c>
      <c r="H54" s="9">
        <v>0.0</v>
      </c>
      <c r="I54" s="9">
        <v>0.0</v>
      </c>
      <c r="J54" s="9">
        <v>0.0</v>
      </c>
      <c r="K54" s="9">
        <v>0.0</v>
      </c>
      <c r="L54" s="9">
        <v>0.0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v>0.0</v>
      </c>
      <c r="T54" s="9">
        <v>0.0</v>
      </c>
      <c r="U54" s="9">
        <v>0.0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A54" s="9">
        <v>0.0</v>
      </c>
      <c r="AB54" s="9">
        <v>0.0</v>
      </c>
      <c r="AC54" s="9">
        <v>1.0</v>
      </c>
      <c r="AD54" s="9">
        <v>1.0</v>
      </c>
      <c r="AE54" s="9">
        <v>0.0</v>
      </c>
      <c r="AF54" s="9">
        <v>0.0</v>
      </c>
      <c r="AG54" s="9">
        <v>0.0</v>
      </c>
      <c r="AH54" s="9">
        <v>0.0</v>
      </c>
      <c r="AI54" s="9">
        <v>0.0</v>
      </c>
      <c r="AJ54" s="9">
        <v>0.0</v>
      </c>
      <c r="AK54" s="9">
        <v>1.0</v>
      </c>
      <c r="AL54" s="9">
        <v>1.0</v>
      </c>
      <c r="AM54" s="9">
        <v>0.0</v>
      </c>
      <c r="AN54" s="9">
        <v>0.0</v>
      </c>
      <c r="AO54" s="9">
        <v>0.0</v>
      </c>
    </row>
    <row r="55">
      <c r="A55" s="6" t="s">
        <v>136</v>
      </c>
      <c r="B55" s="9">
        <v>1.0</v>
      </c>
      <c r="C55" s="9">
        <v>1.0</v>
      </c>
      <c r="D55" s="9">
        <v>1.0</v>
      </c>
      <c r="E55" s="9">
        <v>1.0</v>
      </c>
      <c r="F55" s="9">
        <v>1.0</v>
      </c>
      <c r="G55" s="9">
        <v>1.0</v>
      </c>
      <c r="H55" s="9">
        <v>1.0</v>
      </c>
      <c r="I55" s="9">
        <v>1.0</v>
      </c>
      <c r="J55" s="9">
        <v>1.0</v>
      </c>
      <c r="K55" s="9">
        <v>1.0</v>
      </c>
      <c r="L55" s="9">
        <v>1.0</v>
      </c>
      <c r="M55" s="9">
        <v>1.0</v>
      </c>
      <c r="N55" s="9">
        <v>1.0</v>
      </c>
      <c r="O55" s="9">
        <v>1.0</v>
      </c>
      <c r="P55" s="9">
        <v>1.0</v>
      </c>
      <c r="Q55" s="9">
        <v>1.0</v>
      </c>
      <c r="R55" s="9">
        <v>1.0</v>
      </c>
      <c r="S55" s="9">
        <v>1.0</v>
      </c>
      <c r="T55" s="9">
        <v>1.0</v>
      </c>
      <c r="U55" s="9">
        <v>1.0</v>
      </c>
      <c r="V55" s="9">
        <v>1.0</v>
      </c>
      <c r="W55" s="9">
        <v>1.0</v>
      </c>
      <c r="X55" s="9">
        <v>1.0</v>
      </c>
      <c r="Y55" s="9">
        <v>1.0</v>
      </c>
      <c r="Z55" s="9">
        <v>1.0</v>
      </c>
      <c r="AA55" s="9">
        <v>1.0</v>
      </c>
      <c r="AB55" s="9">
        <v>1.0</v>
      </c>
      <c r="AC55" s="9">
        <v>1.0</v>
      </c>
      <c r="AD55" s="9">
        <v>1.0</v>
      </c>
      <c r="AE55" s="9">
        <v>1.0</v>
      </c>
      <c r="AF55" s="9">
        <v>1.0</v>
      </c>
      <c r="AG55" s="9">
        <v>1.0</v>
      </c>
      <c r="AH55" s="9">
        <v>1.0</v>
      </c>
      <c r="AI55" s="9">
        <v>1.0</v>
      </c>
      <c r="AJ55" s="9">
        <v>1.0</v>
      </c>
      <c r="AK55" s="9">
        <v>1.0</v>
      </c>
      <c r="AL55" s="9">
        <v>1.0</v>
      </c>
      <c r="AM55" s="9">
        <v>1.0</v>
      </c>
      <c r="AN55" s="9">
        <v>1.0</v>
      </c>
      <c r="AO55" s="9">
        <v>1.0</v>
      </c>
    </row>
    <row r="56">
      <c r="A56" s="6" t="s">
        <v>138</v>
      </c>
      <c r="B56" s="9">
        <v>1.0</v>
      </c>
      <c r="C56" s="9">
        <v>1.0</v>
      </c>
      <c r="D56" s="9">
        <v>1.0</v>
      </c>
      <c r="E56" s="9">
        <v>1.0</v>
      </c>
      <c r="F56" s="9">
        <v>1.0</v>
      </c>
      <c r="G56" s="9">
        <v>1.0</v>
      </c>
      <c r="H56" s="9">
        <v>1.0</v>
      </c>
      <c r="I56" s="9">
        <v>1.0</v>
      </c>
      <c r="J56" s="9">
        <v>1.0</v>
      </c>
      <c r="K56" s="9">
        <v>1.0</v>
      </c>
      <c r="L56" s="9">
        <v>1.0</v>
      </c>
      <c r="M56" s="9">
        <v>1.0</v>
      </c>
      <c r="N56" s="9">
        <v>1.0</v>
      </c>
      <c r="O56" s="9">
        <v>1.0</v>
      </c>
      <c r="P56" s="9">
        <v>1.0</v>
      </c>
      <c r="Q56" s="9">
        <v>1.0</v>
      </c>
      <c r="R56" s="9">
        <v>1.0</v>
      </c>
      <c r="S56" s="9">
        <v>1.0</v>
      </c>
      <c r="T56" s="9">
        <v>1.0</v>
      </c>
      <c r="U56" s="9">
        <v>1.0</v>
      </c>
      <c r="V56" s="9">
        <v>1.0</v>
      </c>
      <c r="W56" s="9">
        <v>1.0</v>
      </c>
      <c r="X56" s="9">
        <v>1.0</v>
      </c>
      <c r="Y56" s="9">
        <v>1.0</v>
      </c>
      <c r="Z56" s="9">
        <v>1.0</v>
      </c>
      <c r="AA56" s="9">
        <v>1.0</v>
      </c>
      <c r="AB56" s="9">
        <v>1.0</v>
      </c>
      <c r="AC56" s="9">
        <v>1.0</v>
      </c>
      <c r="AD56" s="9">
        <v>1.0</v>
      </c>
      <c r="AE56" s="9">
        <v>1.0</v>
      </c>
      <c r="AF56" s="9">
        <v>1.0</v>
      </c>
      <c r="AG56" s="9">
        <v>1.0</v>
      </c>
      <c r="AH56" s="9">
        <v>1.0</v>
      </c>
      <c r="AI56" s="9">
        <v>1.0</v>
      </c>
      <c r="AJ56" s="9">
        <v>1.0</v>
      </c>
      <c r="AK56" s="9">
        <v>1.0</v>
      </c>
      <c r="AL56" s="9">
        <v>1.0</v>
      </c>
      <c r="AM56" s="9">
        <v>1.0</v>
      </c>
      <c r="AN56" s="9">
        <v>1.0</v>
      </c>
      <c r="AO56" s="9">
        <v>1.0</v>
      </c>
    </row>
    <row r="57">
      <c r="A57" s="6" t="s">
        <v>140</v>
      </c>
      <c r="B57" s="9">
        <v>0.0</v>
      </c>
      <c r="C57" s="9">
        <v>0.0</v>
      </c>
      <c r="D57" s="9">
        <v>0.0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9">
        <v>1.0</v>
      </c>
      <c r="K57" s="9">
        <v>1.0</v>
      </c>
      <c r="L57" s="9">
        <v>1.0</v>
      </c>
      <c r="M57" s="9">
        <v>1.0</v>
      </c>
      <c r="N57" s="9">
        <v>1.0</v>
      </c>
      <c r="O57" s="9">
        <v>1.0</v>
      </c>
      <c r="P57" s="9">
        <v>1.0</v>
      </c>
      <c r="Q57" s="9">
        <v>1.0</v>
      </c>
      <c r="R57" s="9">
        <v>1.0</v>
      </c>
      <c r="S57" s="9">
        <v>1.0</v>
      </c>
      <c r="T57" s="9">
        <v>0.0</v>
      </c>
      <c r="U57" s="9">
        <v>0.0</v>
      </c>
      <c r="V57" s="9">
        <v>0.0</v>
      </c>
      <c r="W57" s="9">
        <v>1.0</v>
      </c>
      <c r="X57" s="9">
        <v>0.0</v>
      </c>
      <c r="Y57" s="9">
        <v>0.0</v>
      </c>
      <c r="Z57" s="9">
        <v>0.0</v>
      </c>
      <c r="AA57" s="9">
        <v>0.0</v>
      </c>
      <c r="AB57" s="9">
        <v>0.0</v>
      </c>
      <c r="AC57" s="9">
        <v>0.0</v>
      </c>
      <c r="AD57" s="9">
        <v>0.0</v>
      </c>
      <c r="AE57" s="9">
        <v>0.0</v>
      </c>
      <c r="AF57" s="9">
        <v>0.0</v>
      </c>
      <c r="AG57" s="9">
        <v>0.0</v>
      </c>
      <c r="AH57" s="9">
        <v>1.0</v>
      </c>
      <c r="AI57" s="9">
        <v>1.0</v>
      </c>
      <c r="AJ57" s="9">
        <v>1.0</v>
      </c>
      <c r="AK57" s="9">
        <v>1.0</v>
      </c>
      <c r="AL57" s="9">
        <v>1.0</v>
      </c>
      <c r="AM57" s="9">
        <v>1.0</v>
      </c>
      <c r="AN57" s="9">
        <v>0.0</v>
      </c>
      <c r="AO57" s="9">
        <v>0.0</v>
      </c>
    </row>
    <row r="58">
      <c r="A58" s="6" t="s">
        <v>142</v>
      </c>
      <c r="B58" s="9">
        <v>0.0</v>
      </c>
      <c r="C58" s="9">
        <v>0.0</v>
      </c>
      <c r="D58" s="9">
        <v>0.0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1.0</v>
      </c>
      <c r="K58" s="9">
        <v>1.0</v>
      </c>
      <c r="L58" s="9">
        <v>1.0</v>
      </c>
      <c r="M58" s="9">
        <v>1.0</v>
      </c>
      <c r="N58" s="9">
        <v>1.0</v>
      </c>
      <c r="O58" s="9">
        <v>1.0</v>
      </c>
      <c r="P58" s="9">
        <v>1.0</v>
      </c>
      <c r="Q58" s="9">
        <v>1.0</v>
      </c>
      <c r="R58" s="9">
        <v>0.0</v>
      </c>
      <c r="S58" s="9">
        <v>0.0</v>
      </c>
      <c r="T58" s="9">
        <v>0.0</v>
      </c>
      <c r="U58" s="9">
        <v>0.0</v>
      </c>
      <c r="V58" s="9">
        <v>0.0</v>
      </c>
      <c r="W58" s="9">
        <v>0.0</v>
      </c>
      <c r="X58" s="9">
        <v>0.0</v>
      </c>
      <c r="Y58" s="9">
        <v>0.0</v>
      </c>
      <c r="Z58" s="9">
        <v>1.0</v>
      </c>
      <c r="AA58" s="9">
        <v>1.0</v>
      </c>
      <c r="AB58" s="9">
        <v>1.0</v>
      </c>
      <c r="AC58" s="9">
        <v>1.0</v>
      </c>
      <c r="AD58" s="9">
        <v>1.0</v>
      </c>
      <c r="AE58" s="9">
        <v>1.0</v>
      </c>
      <c r="AF58" s="9">
        <v>1.0</v>
      </c>
      <c r="AG58" s="9">
        <v>1.0</v>
      </c>
      <c r="AH58" s="10">
        <v>1.0</v>
      </c>
      <c r="AI58" s="10">
        <v>1.0</v>
      </c>
      <c r="AJ58" s="10">
        <v>1.0</v>
      </c>
      <c r="AK58" s="10">
        <v>1.0</v>
      </c>
      <c r="AL58" s="9">
        <v>0.0</v>
      </c>
      <c r="AM58" s="9">
        <v>0.0</v>
      </c>
      <c r="AN58" s="9">
        <v>0.0</v>
      </c>
      <c r="AO58" s="9">
        <v>0.0</v>
      </c>
    </row>
    <row r="59">
      <c r="A59" s="6" t="s">
        <v>144</v>
      </c>
      <c r="B59" s="9">
        <v>0.0</v>
      </c>
      <c r="C59" s="9">
        <v>0.0</v>
      </c>
      <c r="D59" s="9">
        <v>0.0</v>
      </c>
      <c r="E59" s="9">
        <v>0.0</v>
      </c>
      <c r="F59" s="9">
        <v>1.0</v>
      </c>
      <c r="G59" s="9">
        <v>0.0</v>
      </c>
      <c r="H59" s="9">
        <v>0.0</v>
      </c>
      <c r="I59" s="9">
        <v>0.0</v>
      </c>
      <c r="J59" s="9">
        <v>0.0</v>
      </c>
      <c r="K59" s="9">
        <v>0.0</v>
      </c>
      <c r="L59" s="9">
        <v>0.0</v>
      </c>
      <c r="M59" s="9">
        <v>1.0</v>
      </c>
      <c r="N59" s="9">
        <v>0.0</v>
      </c>
      <c r="O59" s="9">
        <v>0.0</v>
      </c>
      <c r="P59" s="9">
        <v>0.0</v>
      </c>
      <c r="Q59" s="9">
        <v>0.0</v>
      </c>
      <c r="R59" s="9">
        <v>0.0</v>
      </c>
      <c r="S59" s="9">
        <v>0.0</v>
      </c>
      <c r="T59" s="9">
        <v>0.0</v>
      </c>
      <c r="U59" s="9">
        <v>0.0</v>
      </c>
      <c r="V59" s="9">
        <v>1.0</v>
      </c>
      <c r="W59" s="9">
        <v>0.0</v>
      </c>
      <c r="X59" s="9">
        <v>0.0</v>
      </c>
      <c r="Y59" s="9">
        <v>0.0</v>
      </c>
      <c r="Z59" s="9">
        <v>0.0</v>
      </c>
      <c r="AA59" s="9">
        <v>0.0</v>
      </c>
      <c r="AB59" s="9">
        <v>0.0</v>
      </c>
      <c r="AC59" s="9">
        <v>1.0</v>
      </c>
      <c r="AD59" s="9">
        <v>0.0</v>
      </c>
      <c r="AE59" s="9">
        <v>0.0</v>
      </c>
      <c r="AF59" s="9">
        <v>0.0</v>
      </c>
      <c r="AG59" s="9">
        <v>0.0</v>
      </c>
      <c r="AH59" s="9">
        <v>0.0</v>
      </c>
      <c r="AI59" s="9">
        <v>0.0</v>
      </c>
      <c r="AJ59" s="9">
        <v>0.0</v>
      </c>
      <c r="AK59" s="9">
        <v>0.0</v>
      </c>
      <c r="AL59" s="9">
        <v>0.0</v>
      </c>
      <c r="AM59" s="9">
        <v>0.0</v>
      </c>
      <c r="AN59" s="9">
        <v>0.0</v>
      </c>
      <c r="AO59" s="9">
        <v>0.0</v>
      </c>
    </row>
    <row r="60">
      <c r="A60" s="6" t="s">
        <v>146</v>
      </c>
      <c r="B60" s="9">
        <v>0.0</v>
      </c>
      <c r="C60" s="9">
        <v>0.0</v>
      </c>
      <c r="D60" s="9">
        <v>0.0</v>
      </c>
      <c r="E60" s="9">
        <v>0.0</v>
      </c>
      <c r="F60" s="9">
        <v>0.0</v>
      </c>
      <c r="G60" s="9">
        <v>0.0</v>
      </c>
      <c r="H60" s="9">
        <v>0.0</v>
      </c>
      <c r="I60" s="9">
        <v>0.0</v>
      </c>
      <c r="J60" s="9">
        <v>0.0</v>
      </c>
      <c r="K60" s="9">
        <v>1.0</v>
      </c>
      <c r="L60" s="9">
        <v>1.0</v>
      </c>
      <c r="M60" s="9">
        <v>1.0</v>
      </c>
      <c r="N60" s="9">
        <v>1.0</v>
      </c>
      <c r="O60" s="9">
        <v>1.0</v>
      </c>
      <c r="P60" s="9">
        <v>1.0</v>
      </c>
      <c r="Q60" s="9">
        <v>1.0</v>
      </c>
      <c r="R60" s="9">
        <v>0.0</v>
      </c>
      <c r="S60" s="9">
        <v>0.0</v>
      </c>
      <c r="T60" s="9">
        <v>0.0</v>
      </c>
      <c r="U60" s="9">
        <v>0.0</v>
      </c>
      <c r="V60" s="9">
        <v>0.0</v>
      </c>
      <c r="W60" s="9">
        <v>0.0</v>
      </c>
      <c r="X60" s="9">
        <v>0.0</v>
      </c>
      <c r="Y60" s="9">
        <v>0.0</v>
      </c>
      <c r="Z60" s="9">
        <v>0.0</v>
      </c>
      <c r="AA60" s="9">
        <v>1.0</v>
      </c>
      <c r="AB60" s="9">
        <v>1.0</v>
      </c>
      <c r="AC60" s="9">
        <v>1.0</v>
      </c>
      <c r="AD60" s="9">
        <v>1.0</v>
      </c>
      <c r="AE60" s="9">
        <v>1.0</v>
      </c>
      <c r="AF60" s="9">
        <v>1.0</v>
      </c>
      <c r="AG60" s="9">
        <v>1.0</v>
      </c>
      <c r="AH60" s="9">
        <v>0.0</v>
      </c>
      <c r="AI60" s="9">
        <v>1.0</v>
      </c>
      <c r="AJ60" s="9">
        <v>1.0</v>
      </c>
      <c r="AK60" s="9">
        <v>1.0</v>
      </c>
      <c r="AL60" s="9">
        <v>1.0</v>
      </c>
      <c r="AM60" s="9">
        <v>1.0</v>
      </c>
      <c r="AN60" s="9">
        <v>1.0</v>
      </c>
      <c r="AO60" s="9">
        <v>0.0</v>
      </c>
    </row>
    <row r="61">
      <c r="A61" s="6" t="s">
        <v>148</v>
      </c>
      <c r="B61" s="9">
        <v>1.0</v>
      </c>
      <c r="C61" s="9">
        <v>1.0</v>
      </c>
      <c r="D61" s="9">
        <v>1.0</v>
      </c>
      <c r="E61" s="9">
        <v>1.0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1.0</v>
      </c>
      <c r="L61" s="9">
        <v>1.0</v>
      </c>
      <c r="M61" s="9">
        <v>1.0</v>
      </c>
      <c r="N61" s="9">
        <v>1.0</v>
      </c>
      <c r="O61" s="9">
        <v>1.0</v>
      </c>
      <c r="P61" s="9">
        <v>1.0</v>
      </c>
      <c r="Q61" s="9">
        <v>1.0</v>
      </c>
      <c r="R61" s="9">
        <v>1.0</v>
      </c>
      <c r="S61" s="9">
        <v>1.0</v>
      </c>
      <c r="T61" s="9">
        <v>1.0</v>
      </c>
      <c r="U61" s="9">
        <v>1.0</v>
      </c>
      <c r="V61" s="9">
        <v>0.0</v>
      </c>
      <c r="W61" s="9">
        <v>0.0</v>
      </c>
      <c r="X61" s="9">
        <v>0.0</v>
      </c>
      <c r="Y61" s="9">
        <v>0.0</v>
      </c>
      <c r="Z61" s="9">
        <v>0.0</v>
      </c>
      <c r="AA61" s="9">
        <v>0.0</v>
      </c>
      <c r="AB61" s="9">
        <v>0.0</v>
      </c>
      <c r="AC61" s="9">
        <v>0.0</v>
      </c>
      <c r="AD61" s="9">
        <v>1.0</v>
      </c>
      <c r="AE61" s="9">
        <v>1.0</v>
      </c>
      <c r="AF61" s="9">
        <v>1.0</v>
      </c>
      <c r="AG61" s="9">
        <v>1.0</v>
      </c>
      <c r="AH61" s="9">
        <v>1.0</v>
      </c>
      <c r="AI61" s="9">
        <v>1.0</v>
      </c>
      <c r="AJ61" s="9">
        <v>1.0</v>
      </c>
      <c r="AK61" s="9">
        <v>1.0</v>
      </c>
      <c r="AL61" s="9">
        <v>1.0</v>
      </c>
      <c r="AM61" s="9">
        <v>1.0</v>
      </c>
      <c r="AN61" s="9">
        <v>1.0</v>
      </c>
      <c r="AO61" s="16"/>
    </row>
    <row r="62">
      <c r="A62" s="6" t="s">
        <v>150</v>
      </c>
      <c r="B62" s="9">
        <v>0.0</v>
      </c>
      <c r="C62" s="9">
        <v>0.0</v>
      </c>
      <c r="D62" s="9">
        <v>1.0</v>
      </c>
      <c r="E62" s="9">
        <v>1.0</v>
      </c>
      <c r="F62" s="9">
        <v>1.0</v>
      </c>
      <c r="G62" s="9">
        <v>0.0</v>
      </c>
      <c r="H62" s="9">
        <v>0.0</v>
      </c>
      <c r="I62" s="9">
        <v>0.0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v>0.0</v>
      </c>
      <c r="T62" s="9">
        <v>1.0</v>
      </c>
      <c r="U62" s="9">
        <v>1.0</v>
      </c>
      <c r="V62" s="9">
        <v>1.0</v>
      </c>
      <c r="W62" s="9">
        <v>0.0</v>
      </c>
      <c r="X62" s="9">
        <v>0.0</v>
      </c>
      <c r="Y62" s="9">
        <v>0.0</v>
      </c>
      <c r="Z62" s="9">
        <v>0.0</v>
      </c>
      <c r="AA62" s="9">
        <v>0.0</v>
      </c>
      <c r="AB62" s="9">
        <v>1.0</v>
      </c>
      <c r="AC62" s="9">
        <v>1.0</v>
      </c>
      <c r="AD62" s="9">
        <v>1.0</v>
      </c>
      <c r="AE62" s="9">
        <v>0.0</v>
      </c>
      <c r="AF62" s="9">
        <v>0.0</v>
      </c>
      <c r="AG62" s="9">
        <v>0.0</v>
      </c>
      <c r="AH62" s="9">
        <v>0.0</v>
      </c>
      <c r="AI62" s="9">
        <v>0.0</v>
      </c>
      <c r="AJ62" s="9">
        <v>0.0</v>
      </c>
      <c r="AK62" s="9">
        <v>0.0</v>
      </c>
      <c r="AL62" s="9">
        <v>0.0</v>
      </c>
      <c r="AM62" s="9">
        <v>0.0</v>
      </c>
      <c r="AN62" s="9">
        <v>0.0</v>
      </c>
      <c r="AO62" s="9">
        <v>0.0</v>
      </c>
    </row>
    <row r="63">
      <c r="A63" s="6" t="s">
        <v>152</v>
      </c>
      <c r="B63" s="9">
        <v>1.0</v>
      </c>
      <c r="C63" s="9">
        <v>1.0</v>
      </c>
      <c r="D63" s="9">
        <v>1.0</v>
      </c>
      <c r="E63" s="9">
        <v>1.0</v>
      </c>
      <c r="F63" s="9">
        <v>1.0</v>
      </c>
      <c r="G63" s="9">
        <v>1.0</v>
      </c>
      <c r="H63" s="9">
        <v>0.0</v>
      </c>
      <c r="I63" s="9">
        <v>0.0</v>
      </c>
      <c r="J63" s="9">
        <v>0.0</v>
      </c>
      <c r="K63" s="9">
        <v>0.0</v>
      </c>
      <c r="L63" s="9">
        <v>0.0</v>
      </c>
      <c r="M63" s="9">
        <v>0.0</v>
      </c>
      <c r="N63" s="9">
        <v>0.0</v>
      </c>
      <c r="O63" s="9">
        <v>0.0</v>
      </c>
      <c r="P63" s="9">
        <v>0.0</v>
      </c>
      <c r="Q63" s="9">
        <v>0.0</v>
      </c>
      <c r="R63" s="9">
        <v>1.0</v>
      </c>
      <c r="S63" s="9">
        <v>1.0</v>
      </c>
      <c r="T63" s="9">
        <v>1.0</v>
      </c>
      <c r="U63" s="9">
        <v>1.0</v>
      </c>
      <c r="V63" s="9">
        <v>1.0</v>
      </c>
      <c r="W63" s="9">
        <v>1.0</v>
      </c>
      <c r="X63" s="9">
        <v>0.0</v>
      </c>
      <c r="Y63" s="9">
        <v>0.0</v>
      </c>
      <c r="Z63" s="9">
        <v>0.0</v>
      </c>
      <c r="AA63" s="9">
        <v>0.0</v>
      </c>
      <c r="AB63" s="9">
        <v>0.0</v>
      </c>
      <c r="AC63" s="9">
        <v>0.0</v>
      </c>
      <c r="AD63" s="9">
        <v>0.0</v>
      </c>
      <c r="AE63" s="9">
        <v>0.0</v>
      </c>
      <c r="AF63" s="9">
        <v>0.0</v>
      </c>
      <c r="AG63" s="9">
        <v>0.0</v>
      </c>
      <c r="AH63" s="9">
        <v>0.0</v>
      </c>
      <c r="AI63" s="9">
        <v>0.0</v>
      </c>
      <c r="AJ63" s="9">
        <v>0.0</v>
      </c>
      <c r="AK63" s="9">
        <v>0.0</v>
      </c>
      <c r="AL63" s="9">
        <v>0.0</v>
      </c>
      <c r="AM63" s="9">
        <v>0.0</v>
      </c>
      <c r="AN63" s="9">
        <v>0.0</v>
      </c>
      <c r="AO63" s="9">
        <v>0.0</v>
      </c>
    </row>
    <row r="64">
      <c r="A64" s="6" t="s">
        <v>154</v>
      </c>
      <c r="B64" s="9">
        <v>1.0</v>
      </c>
      <c r="C64" s="9">
        <v>1.0</v>
      </c>
      <c r="D64" s="9">
        <v>1.0</v>
      </c>
      <c r="E64" s="9">
        <v>1.0</v>
      </c>
      <c r="F64" s="9">
        <v>1.0</v>
      </c>
      <c r="G64" s="9">
        <v>1.0</v>
      </c>
      <c r="H64" s="9">
        <v>1.0</v>
      </c>
      <c r="I64" s="9">
        <v>1.0</v>
      </c>
      <c r="J64" s="9">
        <v>1.0</v>
      </c>
      <c r="K64" s="9">
        <v>1.0</v>
      </c>
      <c r="L64" s="9">
        <v>1.0</v>
      </c>
      <c r="M64" s="9">
        <v>1.0</v>
      </c>
      <c r="N64" s="9">
        <v>1.0</v>
      </c>
      <c r="O64" s="9">
        <v>1.0</v>
      </c>
      <c r="P64" s="9">
        <v>1.0</v>
      </c>
      <c r="Q64" s="9">
        <v>1.0</v>
      </c>
      <c r="R64" s="9">
        <v>1.0</v>
      </c>
      <c r="S64" s="9">
        <v>1.0</v>
      </c>
      <c r="T64" s="9">
        <v>1.0</v>
      </c>
      <c r="U64" s="9">
        <v>1.0</v>
      </c>
      <c r="V64" s="9">
        <v>1.0</v>
      </c>
      <c r="W64" s="9">
        <v>1.0</v>
      </c>
      <c r="X64" s="9">
        <v>1.0</v>
      </c>
      <c r="Y64" s="9">
        <v>1.0</v>
      </c>
      <c r="Z64" s="9">
        <v>1.0</v>
      </c>
      <c r="AA64" s="9">
        <v>1.0</v>
      </c>
      <c r="AB64" s="9">
        <v>1.0</v>
      </c>
      <c r="AC64" s="9">
        <v>1.0</v>
      </c>
      <c r="AD64" s="9">
        <v>1.0</v>
      </c>
      <c r="AE64" s="9">
        <v>1.0</v>
      </c>
      <c r="AF64" s="9">
        <v>1.0</v>
      </c>
      <c r="AG64" s="9">
        <v>1.0</v>
      </c>
      <c r="AH64" s="9">
        <v>1.0</v>
      </c>
      <c r="AI64" s="9">
        <v>1.0</v>
      </c>
      <c r="AJ64" s="9">
        <v>1.0</v>
      </c>
      <c r="AK64" s="9">
        <v>1.0</v>
      </c>
      <c r="AL64" s="9">
        <v>1.0</v>
      </c>
      <c r="AM64" s="9">
        <v>1.0</v>
      </c>
      <c r="AN64" s="9">
        <v>1.0</v>
      </c>
      <c r="AO64" s="9">
        <v>1.0</v>
      </c>
    </row>
    <row r="65">
      <c r="A65" s="6" t="s">
        <v>156</v>
      </c>
      <c r="B65" s="9">
        <v>1.0</v>
      </c>
      <c r="C65" s="9">
        <v>1.0</v>
      </c>
      <c r="D65" s="9">
        <v>1.0</v>
      </c>
      <c r="E65" s="9">
        <v>1.0</v>
      </c>
      <c r="F65" s="9">
        <v>1.0</v>
      </c>
      <c r="G65" s="9">
        <v>1.0</v>
      </c>
      <c r="H65" s="9">
        <v>1.0</v>
      </c>
      <c r="I65" s="9">
        <v>1.0</v>
      </c>
      <c r="J65" s="9">
        <v>1.0</v>
      </c>
      <c r="K65" s="9">
        <v>1.0</v>
      </c>
      <c r="L65" s="9">
        <v>1.0</v>
      </c>
      <c r="M65" s="9">
        <v>1.0</v>
      </c>
      <c r="N65" s="9">
        <v>1.0</v>
      </c>
      <c r="O65" s="9">
        <v>1.0</v>
      </c>
      <c r="P65" s="9">
        <v>1.0</v>
      </c>
      <c r="Q65" s="9">
        <v>1.0</v>
      </c>
      <c r="R65" s="9">
        <v>1.0</v>
      </c>
      <c r="S65" s="9">
        <v>1.0</v>
      </c>
      <c r="T65" s="9">
        <v>1.0</v>
      </c>
      <c r="U65" s="9">
        <v>1.0</v>
      </c>
      <c r="V65" s="9">
        <v>1.0</v>
      </c>
      <c r="W65" s="9">
        <v>1.0</v>
      </c>
      <c r="X65" s="9">
        <v>1.0</v>
      </c>
      <c r="Y65" s="9">
        <v>1.0</v>
      </c>
      <c r="Z65" s="9">
        <v>1.0</v>
      </c>
      <c r="AA65" s="9">
        <v>1.0</v>
      </c>
      <c r="AB65" s="9">
        <v>1.0</v>
      </c>
      <c r="AC65" s="9">
        <v>1.0</v>
      </c>
      <c r="AD65" s="9">
        <v>1.0</v>
      </c>
      <c r="AE65" s="9">
        <v>1.0</v>
      </c>
      <c r="AF65" s="9">
        <v>1.0</v>
      </c>
      <c r="AG65" s="9">
        <v>1.0</v>
      </c>
      <c r="AH65" s="9">
        <v>1.0</v>
      </c>
      <c r="AI65" s="9">
        <v>1.0</v>
      </c>
      <c r="AJ65" s="9">
        <v>1.0</v>
      </c>
      <c r="AK65" s="9">
        <v>1.0</v>
      </c>
      <c r="AL65" s="9">
        <v>1.0</v>
      </c>
      <c r="AM65" s="9">
        <v>1.0</v>
      </c>
      <c r="AN65" s="9">
        <v>1.0</v>
      </c>
      <c r="AO65" s="9">
        <v>1.0</v>
      </c>
    </row>
    <row r="66">
      <c r="A66" s="6" t="s">
        <v>158</v>
      </c>
      <c r="B66" s="9">
        <v>1.0</v>
      </c>
      <c r="C66" s="9">
        <v>1.0</v>
      </c>
      <c r="D66" s="9">
        <v>1.0</v>
      </c>
      <c r="E66" s="9">
        <v>1.0</v>
      </c>
      <c r="F66" s="9">
        <v>1.0</v>
      </c>
      <c r="G66" s="9">
        <v>1.0</v>
      </c>
      <c r="H66" s="9">
        <v>1.0</v>
      </c>
      <c r="I66" s="9">
        <v>1.0</v>
      </c>
      <c r="J66" s="9">
        <v>1.0</v>
      </c>
      <c r="K66" s="9">
        <v>1.0</v>
      </c>
      <c r="L66" s="9">
        <v>1.0</v>
      </c>
      <c r="M66" s="9">
        <v>1.0</v>
      </c>
      <c r="N66" s="9">
        <v>1.0</v>
      </c>
      <c r="O66" s="9">
        <v>1.0</v>
      </c>
      <c r="P66" s="9">
        <v>1.0</v>
      </c>
      <c r="Q66" s="9">
        <v>1.0</v>
      </c>
      <c r="R66" s="9">
        <v>1.0</v>
      </c>
      <c r="S66" s="9">
        <v>1.0</v>
      </c>
      <c r="T66" s="9">
        <v>1.0</v>
      </c>
      <c r="U66" s="9">
        <v>1.0</v>
      </c>
      <c r="V66" s="9">
        <v>1.0</v>
      </c>
      <c r="W66" s="9">
        <v>1.0</v>
      </c>
      <c r="X66" s="9">
        <v>1.0</v>
      </c>
      <c r="Y66" s="9">
        <v>1.0</v>
      </c>
      <c r="Z66" s="9">
        <v>1.0</v>
      </c>
      <c r="AA66" s="9">
        <v>1.0</v>
      </c>
      <c r="AB66" s="9">
        <v>1.0</v>
      </c>
      <c r="AC66" s="9">
        <v>1.0</v>
      </c>
      <c r="AD66" s="9">
        <v>1.0</v>
      </c>
      <c r="AE66" s="9">
        <v>1.0</v>
      </c>
      <c r="AF66" s="9">
        <v>1.0</v>
      </c>
      <c r="AG66" s="9">
        <v>1.0</v>
      </c>
      <c r="AH66" s="9">
        <v>1.0</v>
      </c>
      <c r="AI66" s="9">
        <v>1.0</v>
      </c>
      <c r="AJ66" s="9">
        <v>1.0</v>
      </c>
      <c r="AK66" s="9">
        <v>1.0</v>
      </c>
      <c r="AL66" s="9">
        <v>1.0</v>
      </c>
      <c r="AM66" s="9">
        <v>1.0</v>
      </c>
      <c r="AN66" s="9">
        <v>1.0</v>
      </c>
      <c r="AO66" s="9">
        <v>1.0</v>
      </c>
    </row>
    <row r="67">
      <c r="A67" s="6" t="s">
        <v>160</v>
      </c>
      <c r="B67" s="9">
        <v>1.0</v>
      </c>
      <c r="C67" s="9">
        <v>1.0</v>
      </c>
      <c r="D67" s="9">
        <v>1.0</v>
      </c>
      <c r="E67" s="9">
        <v>1.0</v>
      </c>
      <c r="F67" s="9">
        <v>1.0</v>
      </c>
      <c r="G67" s="9">
        <v>1.0</v>
      </c>
      <c r="H67" s="9">
        <v>1.0</v>
      </c>
      <c r="I67" s="9">
        <v>1.0</v>
      </c>
      <c r="J67" s="9">
        <v>1.0</v>
      </c>
      <c r="K67" s="9">
        <v>1.0</v>
      </c>
      <c r="L67" s="9">
        <v>1.0</v>
      </c>
      <c r="M67" s="9">
        <v>1.0</v>
      </c>
      <c r="N67" s="9">
        <v>1.0</v>
      </c>
      <c r="O67" s="9">
        <v>1.0</v>
      </c>
      <c r="P67" s="9">
        <v>1.0</v>
      </c>
      <c r="Q67" s="9">
        <v>1.0</v>
      </c>
      <c r="R67" s="9">
        <v>1.0</v>
      </c>
      <c r="S67" s="9">
        <v>1.0</v>
      </c>
      <c r="T67" s="9">
        <v>1.0</v>
      </c>
      <c r="U67" s="9">
        <v>1.0</v>
      </c>
      <c r="V67" s="9">
        <v>1.0</v>
      </c>
      <c r="W67" s="9">
        <v>1.0</v>
      </c>
      <c r="X67" s="9">
        <v>1.0</v>
      </c>
      <c r="Y67" s="9">
        <v>1.0</v>
      </c>
      <c r="Z67" s="9">
        <v>1.0</v>
      </c>
      <c r="AA67" s="9">
        <v>1.0</v>
      </c>
      <c r="AB67" s="9">
        <v>1.0</v>
      </c>
      <c r="AC67" s="9">
        <v>1.0</v>
      </c>
      <c r="AD67" s="9">
        <v>1.0</v>
      </c>
      <c r="AE67" s="9">
        <v>1.0</v>
      </c>
      <c r="AF67" s="9">
        <v>1.0</v>
      </c>
      <c r="AG67" s="9">
        <v>1.0</v>
      </c>
      <c r="AH67" s="9">
        <v>1.0</v>
      </c>
      <c r="AI67" s="9">
        <v>1.0</v>
      </c>
      <c r="AJ67" s="9">
        <v>1.0</v>
      </c>
      <c r="AK67" s="9">
        <v>1.0</v>
      </c>
      <c r="AL67" s="9">
        <v>1.0</v>
      </c>
      <c r="AM67" s="9">
        <v>1.0</v>
      </c>
      <c r="AN67" s="9">
        <v>1.0</v>
      </c>
      <c r="AO67" s="9">
        <v>1.0</v>
      </c>
    </row>
    <row r="68">
      <c r="A68" s="6" t="s">
        <v>162</v>
      </c>
      <c r="B68" s="9">
        <v>1.0</v>
      </c>
      <c r="C68" s="9">
        <v>1.0</v>
      </c>
      <c r="D68" s="9">
        <v>1.0</v>
      </c>
      <c r="E68" s="9">
        <v>1.0</v>
      </c>
      <c r="F68" s="9">
        <v>1.0</v>
      </c>
      <c r="G68" s="9">
        <v>1.0</v>
      </c>
      <c r="H68" s="9">
        <v>1.0</v>
      </c>
      <c r="I68" s="9">
        <v>1.0</v>
      </c>
      <c r="J68" s="9">
        <v>1.0</v>
      </c>
      <c r="K68" s="9">
        <v>1.0</v>
      </c>
      <c r="L68" s="9">
        <v>1.0</v>
      </c>
      <c r="M68" s="9">
        <v>1.0</v>
      </c>
      <c r="N68" s="9">
        <v>1.0</v>
      </c>
      <c r="O68" s="9">
        <v>1.0</v>
      </c>
      <c r="P68" s="9">
        <v>1.0</v>
      </c>
      <c r="Q68" s="9">
        <v>1.0</v>
      </c>
      <c r="R68" s="9">
        <v>1.0</v>
      </c>
      <c r="S68" s="9">
        <v>1.0</v>
      </c>
      <c r="T68" s="9">
        <v>1.0</v>
      </c>
      <c r="U68" s="9">
        <v>1.0</v>
      </c>
      <c r="V68" s="9">
        <v>1.0</v>
      </c>
      <c r="W68" s="9">
        <v>1.0</v>
      </c>
      <c r="X68" s="9">
        <v>1.0</v>
      </c>
      <c r="Y68" s="9">
        <v>1.0</v>
      </c>
      <c r="Z68" s="9">
        <v>1.0</v>
      </c>
      <c r="AA68" s="9">
        <v>1.0</v>
      </c>
      <c r="AB68" s="9">
        <v>1.0</v>
      </c>
      <c r="AC68" s="9">
        <v>1.0</v>
      </c>
      <c r="AD68" s="9">
        <v>1.0</v>
      </c>
      <c r="AE68" s="9">
        <v>1.0</v>
      </c>
      <c r="AF68" s="9">
        <v>1.0</v>
      </c>
      <c r="AG68" s="9">
        <v>1.0</v>
      </c>
      <c r="AH68" s="9">
        <v>1.0</v>
      </c>
      <c r="AI68" s="9">
        <v>1.0</v>
      </c>
      <c r="AJ68" s="9">
        <v>1.0</v>
      </c>
      <c r="AK68" s="9">
        <v>1.0</v>
      </c>
      <c r="AL68" s="9">
        <v>1.0</v>
      </c>
      <c r="AM68" s="9">
        <v>1.0</v>
      </c>
      <c r="AN68" s="9">
        <v>1.0</v>
      </c>
      <c r="AO68" s="9">
        <v>1.0</v>
      </c>
    </row>
    <row r="69">
      <c r="A69" s="6" t="s">
        <v>164</v>
      </c>
      <c r="B69" s="9">
        <v>1.0</v>
      </c>
      <c r="C69" s="9">
        <v>1.0</v>
      </c>
      <c r="D69" s="9">
        <v>1.0</v>
      </c>
      <c r="E69" s="9">
        <v>1.0</v>
      </c>
      <c r="F69" s="9">
        <v>1.0</v>
      </c>
      <c r="G69" s="9">
        <v>1.0</v>
      </c>
      <c r="H69" s="9">
        <v>1.0</v>
      </c>
      <c r="I69" s="9">
        <v>1.0</v>
      </c>
      <c r="J69" s="9">
        <v>1.0</v>
      </c>
      <c r="K69" s="9">
        <v>1.0</v>
      </c>
      <c r="L69" s="9">
        <v>1.0</v>
      </c>
      <c r="M69" s="9">
        <v>1.0</v>
      </c>
      <c r="N69" s="9">
        <v>1.0</v>
      </c>
      <c r="O69" s="9">
        <v>1.0</v>
      </c>
      <c r="P69" s="9">
        <v>1.0</v>
      </c>
      <c r="Q69" s="9">
        <v>1.0</v>
      </c>
      <c r="R69" s="9">
        <v>1.0</v>
      </c>
      <c r="S69" s="9">
        <v>1.0</v>
      </c>
      <c r="T69" s="9">
        <v>1.0</v>
      </c>
      <c r="U69" s="9">
        <v>1.0</v>
      </c>
      <c r="V69" s="9">
        <v>1.0</v>
      </c>
      <c r="W69" s="9">
        <v>1.0</v>
      </c>
      <c r="X69" s="9">
        <v>1.0</v>
      </c>
      <c r="Y69" s="9">
        <v>1.0</v>
      </c>
      <c r="Z69" s="9">
        <v>1.0</v>
      </c>
      <c r="AA69" s="9">
        <v>1.0</v>
      </c>
      <c r="AB69" s="9">
        <v>1.0</v>
      </c>
      <c r="AC69" s="9">
        <v>1.0</v>
      </c>
      <c r="AD69" s="9">
        <v>1.0</v>
      </c>
      <c r="AE69" s="9">
        <v>1.0</v>
      </c>
      <c r="AF69" s="9">
        <v>1.0</v>
      </c>
      <c r="AG69" s="9">
        <v>1.0</v>
      </c>
      <c r="AH69" s="9">
        <v>1.0</v>
      </c>
      <c r="AI69" s="9">
        <v>1.0</v>
      </c>
      <c r="AJ69" s="9">
        <v>1.0</v>
      </c>
      <c r="AK69" s="9">
        <v>1.0</v>
      </c>
      <c r="AL69" s="9">
        <v>1.0</v>
      </c>
      <c r="AM69" s="9">
        <v>1.0</v>
      </c>
      <c r="AN69" s="9">
        <v>1.0</v>
      </c>
      <c r="AO69" s="9">
        <v>1.0</v>
      </c>
    </row>
    <row r="70">
      <c r="A70" s="6" t="s">
        <v>166</v>
      </c>
      <c r="B70" s="9">
        <v>1.0</v>
      </c>
      <c r="C70" s="9">
        <v>1.0</v>
      </c>
      <c r="D70" s="9">
        <v>1.0</v>
      </c>
      <c r="E70" s="9">
        <v>1.0</v>
      </c>
      <c r="F70" s="9">
        <v>1.0</v>
      </c>
      <c r="G70" s="9">
        <v>1.0</v>
      </c>
      <c r="H70" s="9">
        <v>1.0</v>
      </c>
      <c r="I70" s="9">
        <v>1.0</v>
      </c>
      <c r="J70" s="9">
        <v>1.0</v>
      </c>
      <c r="K70" s="9">
        <v>1.0</v>
      </c>
      <c r="L70" s="9">
        <v>1.0</v>
      </c>
      <c r="M70" s="9">
        <v>1.0</v>
      </c>
      <c r="N70" s="9">
        <v>1.0</v>
      </c>
      <c r="O70" s="9">
        <v>1.0</v>
      </c>
      <c r="P70" s="9">
        <v>1.0</v>
      </c>
      <c r="Q70" s="9">
        <v>1.0</v>
      </c>
      <c r="R70" s="9">
        <v>1.0</v>
      </c>
      <c r="S70" s="9">
        <v>1.0</v>
      </c>
      <c r="T70" s="9">
        <v>1.0</v>
      </c>
      <c r="U70" s="9">
        <v>1.0</v>
      </c>
      <c r="V70" s="9">
        <v>1.0</v>
      </c>
      <c r="W70" s="9">
        <v>1.0</v>
      </c>
      <c r="X70" s="9">
        <v>1.0</v>
      </c>
      <c r="Y70" s="9">
        <v>1.0</v>
      </c>
      <c r="Z70" s="9">
        <v>1.0</v>
      </c>
      <c r="AA70" s="9">
        <v>1.0</v>
      </c>
      <c r="AB70" s="9">
        <v>1.0</v>
      </c>
      <c r="AC70" s="9">
        <v>1.0</v>
      </c>
      <c r="AD70" s="9">
        <v>1.0</v>
      </c>
      <c r="AE70" s="9">
        <v>1.0</v>
      </c>
      <c r="AF70" s="9">
        <v>1.0</v>
      </c>
      <c r="AG70" s="9">
        <v>1.0</v>
      </c>
      <c r="AH70" s="9">
        <v>1.0</v>
      </c>
      <c r="AI70" s="9">
        <v>1.0</v>
      </c>
      <c r="AJ70" s="9">
        <v>1.0</v>
      </c>
      <c r="AK70" s="9">
        <v>1.0</v>
      </c>
      <c r="AL70" s="9">
        <v>1.0</v>
      </c>
      <c r="AM70" s="9">
        <v>1.0</v>
      </c>
      <c r="AN70" s="9">
        <v>1.0</v>
      </c>
      <c r="AO70" s="9">
        <v>1.0</v>
      </c>
    </row>
    <row r="71">
      <c r="A71" s="6" t="s">
        <v>168</v>
      </c>
      <c r="B71" s="9">
        <v>1.0</v>
      </c>
      <c r="C71" s="9">
        <v>1.0</v>
      </c>
      <c r="D71" s="9">
        <v>1.0</v>
      </c>
      <c r="E71" s="9">
        <v>1.0</v>
      </c>
      <c r="F71" s="9">
        <v>1.0</v>
      </c>
      <c r="G71" s="9">
        <v>1.0</v>
      </c>
      <c r="H71" s="9">
        <v>1.0</v>
      </c>
      <c r="I71" s="9">
        <v>1.0</v>
      </c>
      <c r="J71" s="9">
        <v>1.0</v>
      </c>
      <c r="K71" s="9">
        <v>1.0</v>
      </c>
      <c r="L71" s="9">
        <v>1.0</v>
      </c>
      <c r="M71" s="9">
        <v>1.0</v>
      </c>
      <c r="N71" s="9">
        <v>1.0</v>
      </c>
      <c r="O71" s="9">
        <v>1.0</v>
      </c>
      <c r="P71" s="9">
        <v>1.0</v>
      </c>
      <c r="Q71" s="9">
        <v>1.0</v>
      </c>
      <c r="R71" s="9">
        <v>1.0</v>
      </c>
      <c r="S71" s="9">
        <v>1.0</v>
      </c>
      <c r="T71" s="9">
        <v>1.0</v>
      </c>
      <c r="U71" s="9">
        <v>1.0</v>
      </c>
      <c r="V71" s="9">
        <v>1.0</v>
      </c>
      <c r="W71" s="9">
        <v>1.0</v>
      </c>
      <c r="X71" s="9">
        <v>1.0</v>
      </c>
      <c r="Y71" s="9">
        <v>1.0</v>
      </c>
      <c r="Z71" s="9">
        <v>1.0</v>
      </c>
      <c r="AA71" s="9">
        <v>1.0</v>
      </c>
      <c r="AB71" s="9">
        <v>1.0</v>
      </c>
      <c r="AC71" s="9">
        <v>1.0</v>
      </c>
      <c r="AD71" s="9">
        <v>1.0</v>
      </c>
      <c r="AE71" s="9">
        <v>1.0</v>
      </c>
      <c r="AF71" s="9">
        <v>1.0</v>
      </c>
      <c r="AG71" s="9">
        <v>1.0</v>
      </c>
      <c r="AH71" s="9">
        <v>1.0</v>
      </c>
      <c r="AI71" s="9">
        <v>1.0</v>
      </c>
      <c r="AJ71" s="9">
        <v>1.0</v>
      </c>
      <c r="AK71" s="9">
        <v>1.0</v>
      </c>
      <c r="AL71" s="9">
        <v>1.0</v>
      </c>
      <c r="AM71" s="9">
        <v>1.0</v>
      </c>
      <c r="AN71" s="9">
        <v>1.0</v>
      </c>
      <c r="AO71" s="9">
        <v>1.0</v>
      </c>
    </row>
    <row r="72">
      <c r="A72" s="6" t="s">
        <v>170</v>
      </c>
      <c r="B72" s="9">
        <v>1.0</v>
      </c>
      <c r="C72" s="9">
        <v>1.0</v>
      </c>
      <c r="D72" s="9">
        <v>1.0</v>
      </c>
      <c r="E72" s="9">
        <v>1.0</v>
      </c>
      <c r="F72" s="9">
        <v>1.0</v>
      </c>
      <c r="G72" s="9">
        <v>1.0</v>
      </c>
      <c r="H72" s="9">
        <v>1.0</v>
      </c>
      <c r="I72" s="9">
        <v>1.0</v>
      </c>
      <c r="J72" s="9">
        <v>1.0</v>
      </c>
      <c r="K72" s="9">
        <v>1.0</v>
      </c>
      <c r="L72" s="9">
        <v>1.0</v>
      </c>
      <c r="M72" s="9">
        <v>1.0</v>
      </c>
      <c r="N72" s="9">
        <v>1.0</v>
      </c>
      <c r="O72" s="9">
        <v>1.0</v>
      </c>
      <c r="P72" s="9">
        <v>1.0</v>
      </c>
      <c r="Q72" s="9">
        <v>1.0</v>
      </c>
      <c r="R72" s="9">
        <v>1.0</v>
      </c>
      <c r="S72" s="9">
        <v>1.0</v>
      </c>
      <c r="T72" s="9">
        <v>1.0</v>
      </c>
      <c r="U72" s="9">
        <v>1.0</v>
      </c>
      <c r="V72" s="9">
        <v>1.0</v>
      </c>
      <c r="W72" s="9">
        <v>1.0</v>
      </c>
      <c r="X72" s="9">
        <v>1.0</v>
      </c>
      <c r="Y72" s="9">
        <v>1.0</v>
      </c>
      <c r="Z72" s="9">
        <v>1.0</v>
      </c>
      <c r="AA72" s="9">
        <v>1.0</v>
      </c>
      <c r="AB72" s="9">
        <v>1.0</v>
      </c>
      <c r="AC72" s="9">
        <v>1.0</v>
      </c>
      <c r="AD72" s="9">
        <v>1.0</v>
      </c>
      <c r="AE72" s="9">
        <v>1.0</v>
      </c>
      <c r="AF72" s="9">
        <v>1.0</v>
      </c>
      <c r="AG72" s="9">
        <v>1.0</v>
      </c>
      <c r="AH72" s="9">
        <v>1.0</v>
      </c>
      <c r="AI72" s="9">
        <v>1.0</v>
      </c>
      <c r="AJ72" s="9">
        <v>1.0</v>
      </c>
      <c r="AK72" s="9">
        <v>1.0</v>
      </c>
      <c r="AL72" s="9">
        <v>1.0</v>
      </c>
      <c r="AM72" s="9">
        <v>1.0</v>
      </c>
      <c r="AN72" s="9">
        <v>1.0</v>
      </c>
      <c r="AO72" s="9">
        <v>1.0</v>
      </c>
    </row>
    <row r="73">
      <c r="A73" s="6" t="s">
        <v>172</v>
      </c>
      <c r="B73" s="9">
        <v>1.0</v>
      </c>
      <c r="C73" s="9">
        <v>1.0</v>
      </c>
      <c r="D73" s="9">
        <v>1.0</v>
      </c>
      <c r="E73" s="9">
        <v>1.0</v>
      </c>
      <c r="F73" s="9">
        <v>1.0</v>
      </c>
      <c r="G73" s="9">
        <v>1.0</v>
      </c>
      <c r="H73" s="9">
        <v>1.0</v>
      </c>
      <c r="I73" s="9">
        <v>1.0</v>
      </c>
      <c r="J73" s="9">
        <v>1.0</v>
      </c>
      <c r="K73" s="9">
        <v>1.0</v>
      </c>
      <c r="L73" s="9">
        <v>1.0</v>
      </c>
      <c r="M73" s="9">
        <v>1.0</v>
      </c>
      <c r="N73" s="9">
        <v>1.0</v>
      </c>
      <c r="O73" s="9">
        <v>1.0</v>
      </c>
      <c r="P73" s="9">
        <v>1.0</v>
      </c>
      <c r="Q73" s="9">
        <v>1.0</v>
      </c>
      <c r="R73" s="9">
        <v>1.0</v>
      </c>
      <c r="S73" s="9">
        <v>1.0</v>
      </c>
      <c r="T73" s="9">
        <v>1.0</v>
      </c>
      <c r="U73" s="9">
        <v>1.0</v>
      </c>
      <c r="V73" s="9">
        <v>1.0</v>
      </c>
      <c r="W73" s="9">
        <v>1.0</v>
      </c>
      <c r="X73" s="9">
        <v>1.0</v>
      </c>
      <c r="Y73" s="9">
        <v>1.0</v>
      </c>
      <c r="Z73" s="9">
        <v>1.0</v>
      </c>
      <c r="AA73" s="9">
        <v>1.0</v>
      </c>
      <c r="AB73" s="9">
        <v>1.0</v>
      </c>
      <c r="AC73" s="9">
        <v>1.0</v>
      </c>
      <c r="AD73" s="9">
        <v>1.0</v>
      </c>
      <c r="AE73" s="9">
        <v>1.0</v>
      </c>
      <c r="AF73" s="9">
        <v>1.0</v>
      </c>
      <c r="AG73" s="9">
        <v>1.0</v>
      </c>
      <c r="AH73" s="9">
        <v>1.0</v>
      </c>
      <c r="AI73" s="9">
        <v>1.0</v>
      </c>
      <c r="AJ73" s="9">
        <v>1.0</v>
      </c>
      <c r="AK73" s="9">
        <v>1.0</v>
      </c>
      <c r="AL73" s="9">
        <v>1.0</v>
      </c>
      <c r="AM73" s="9">
        <v>1.0</v>
      </c>
      <c r="AN73" s="9">
        <v>1.0</v>
      </c>
      <c r="AO73" s="9">
        <v>1.0</v>
      </c>
    </row>
    <row r="74">
      <c r="A74" s="6" t="s">
        <v>174</v>
      </c>
      <c r="B74" s="9">
        <v>1.0</v>
      </c>
      <c r="C74" s="9">
        <v>1.0</v>
      </c>
      <c r="D74" s="9">
        <v>1.0</v>
      </c>
      <c r="E74" s="9">
        <v>1.0</v>
      </c>
      <c r="F74" s="9">
        <v>1.0</v>
      </c>
      <c r="G74" s="9">
        <v>1.0</v>
      </c>
      <c r="H74" s="9">
        <v>1.0</v>
      </c>
      <c r="I74" s="9">
        <v>1.0</v>
      </c>
      <c r="J74" s="9">
        <v>1.0</v>
      </c>
      <c r="K74" s="9">
        <v>1.0</v>
      </c>
      <c r="L74" s="9">
        <v>1.0</v>
      </c>
      <c r="M74" s="9">
        <v>1.0</v>
      </c>
      <c r="N74" s="9">
        <v>1.0</v>
      </c>
      <c r="O74" s="9">
        <v>1.0</v>
      </c>
      <c r="P74" s="9">
        <v>1.0</v>
      </c>
      <c r="Q74" s="9">
        <v>1.0</v>
      </c>
      <c r="R74" s="9">
        <v>1.0</v>
      </c>
      <c r="S74" s="9">
        <v>1.0</v>
      </c>
      <c r="T74" s="9">
        <v>1.0</v>
      </c>
      <c r="U74" s="9">
        <v>1.0</v>
      </c>
      <c r="V74" s="9">
        <v>1.0</v>
      </c>
      <c r="W74" s="9">
        <v>1.0</v>
      </c>
      <c r="X74" s="9">
        <v>1.0</v>
      </c>
      <c r="Y74" s="9">
        <v>1.0</v>
      </c>
      <c r="Z74" s="9">
        <v>1.0</v>
      </c>
      <c r="AA74" s="9">
        <v>1.0</v>
      </c>
      <c r="AB74" s="9">
        <v>1.0</v>
      </c>
      <c r="AC74" s="9">
        <v>1.0</v>
      </c>
      <c r="AD74" s="9">
        <v>1.0</v>
      </c>
      <c r="AE74" s="9">
        <v>1.0</v>
      </c>
      <c r="AF74" s="9">
        <v>1.0</v>
      </c>
      <c r="AG74" s="9">
        <v>1.0</v>
      </c>
      <c r="AH74" s="9">
        <v>1.0</v>
      </c>
      <c r="AI74" s="9">
        <v>1.0</v>
      </c>
      <c r="AJ74" s="9">
        <v>1.0</v>
      </c>
      <c r="AK74" s="9">
        <v>1.0</v>
      </c>
      <c r="AL74" s="9">
        <v>1.0</v>
      </c>
      <c r="AM74" s="9">
        <v>1.0</v>
      </c>
      <c r="AN74" s="9">
        <v>1.0</v>
      </c>
      <c r="AO74" s="9">
        <v>1.0</v>
      </c>
    </row>
    <row r="75">
      <c r="A75" s="6" t="s">
        <v>176</v>
      </c>
      <c r="B75" s="9">
        <v>1.0</v>
      </c>
      <c r="C75" s="9">
        <v>1.0</v>
      </c>
      <c r="D75" s="9">
        <v>1.0</v>
      </c>
      <c r="E75" s="9">
        <v>1.0</v>
      </c>
      <c r="F75" s="9">
        <v>1.0</v>
      </c>
      <c r="G75" s="9">
        <v>1.0</v>
      </c>
      <c r="H75" s="9">
        <v>1.0</v>
      </c>
      <c r="I75" s="9">
        <v>1.0</v>
      </c>
      <c r="J75" s="9">
        <v>1.0</v>
      </c>
      <c r="K75" s="9">
        <v>1.0</v>
      </c>
      <c r="L75" s="9">
        <v>1.0</v>
      </c>
      <c r="M75" s="9">
        <v>1.0</v>
      </c>
      <c r="N75" s="9">
        <v>1.0</v>
      </c>
      <c r="O75" s="9">
        <v>1.0</v>
      </c>
      <c r="P75" s="9">
        <v>1.0</v>
      </c>
      <c r="Q75" s="9">
        <v>1.0</v>
      </c>
      <c r="R75" s="9">
        <v>1.0</v>
      </c>
      <c r="S75" s="9">
        <v>1.0</v>
      </c>
      <c r="T75" s="9">
        <v>1.0</v>
      </c>
      <c r="U75" s="9">
        <v>1.0</v>
      </c>
      <c r="V75" s="9">
        <v>1.0</v>
      </c>
      <c r="W75" s="9">
        <v>1.0</v>
      </c>
      <c r="X75" s="9">
        <v>1.0</v>
      </c>
      <c r="Y75" s="9">
        <v>1.0</v>
      </c>
      <c r="Z75" s="9">
        <v>1.0</v>
      </c>
      <c r="AA75" s="9">
        <v>1.0</v>
      </c>
      <c r="AB75" s="9">
        <v>1.0</v>
      </c>
      <c r="AC75" s="9">
        <v>1.0</v>
      </c>
      <c r="AD75" s="9">
        <v>1.0</v>
      </c>
      <c r="AE75" s="9">
        <v>1.0</v>
      </c>
      <c r="AF75" s="9">
        <v>1.0</v>
      </c>
      <c r="AG75" s="9">
        <v>1.0</v>
      </c>
      <c r="AH75" s="9">
        <v>1.0</v>
      </c>
      <c r="AI75" s="9">
        <v>1.0</v>
      </c>
      <c r="AJ75" s="9">
        <v>1.0</v>
      </c>
      <c r="AK75" s="9">
        <v>1.0</v>
      </c>
      <c r="AL75" s="9">
        <v>1.0</v>
      </c>
      <c r="AM75" s="9">
        <v>1.0</v>
      </c>
      <c r="AN75" s="9">
        <v>1.0</v>
      </c>
      <c r="AO75" s="9">
        <v>1.0</v>
      </c>
    </row>
    <row r="76">
      <c r="A76" s="6" t="s">
        <v>178</v>
      </c>
      <c r="B76" s="9">
        <v>1.0</v>
      </c>
      <c r="C76" s="9">
        <v>1.0</v>
      </c>
      <c r="D76" s="9">
        <v>1.0</v>
      </c>
      <c r="E76" s="9">
        <v>1.0</v>
      </c>
      <c r="F76" s="9">
        <v>1.0</v>
      </c>
      <c r="G76" s="9">
        <v>1.0</v>
      </c>
      <c r="H76" s="9">
        <v>1.0</v>
      </c>
      <c r="I76" s="9">
        <v>1.0</v>
      </c>
      <c r="J76" s="9">
        <v>1.0</v>
      </c>
      <c r="K76" s="9">
        <v>1.0</v>
      </c>
      <c r="L76" s="9">
        <v>1.0</v>
      </c>
      <c r="M76" s="9">
        <v>1.0</v>
      </c>
      <c r="N76" s="9">
        <v>1.0</v>
      </c>
      <c r="O76" s="9">
        <v>1.0</v>
      </c>
      <c r="P76" s="9">
        <v>1.0</v>
      </c>
      <c r="Q76" s="9">
        <v>1.0</v>
      </c>
      <c r="R76" s="9">
        <v>1.0</v>
      </c>
      <c r="S76" s="9">
        <v>1.0</v>
      </c>
      <c r="T76" s="9">
        <v>1.0</v>
      </c>
      <c r="U76" s="9">
        <v>1.0</v>
      </c>
      <c r="V76" s="9">
        <v>1.0</v>
      </c>
      <c r="W76" s="9">
        <v>1.0</v>
      </c>
      <c r="X76" s="9">
        <v>1.0</v>
      </c>
      <c r="Y76" s="9">
        <v>1.0</v>
      </c>
      <c r="Z76" s="9">
        <v>1.0</v>
      </c>
      <c r="AA76" s="9">
        <v>1.0</v>
      </c>
      <c r="AB76" s="9">
        <v>1.0</v>
      </c>
      <c r="AC76" s="9">
        <v>1.0</v>
      </c>
      <c r="AD76" s="9">
        <v>1.0</v>
      </c>
      <c r="AE76" s="9">
        <v>1.0</v>
      </c>
      <c r="AF76" s="9">
        <v>1.0</v>
      </c>
      <c r="AG76" s="9">
        <v>1.0</v>
      </c>
      <c r="AH76" s="9">
        <v>1.0</v>
      </c>
      <c r="AI76" s="9">
        <v>1.0</v>
      </c>
      <c r="AJ76" s="9">
        <v>1.0</v>
      </c>
      <c r="AK76" s="9">
        <v>1.0</v>
      </c>
      <c r="AL76" s="9">
        <v>1.0</v>
      </c>
      <c r="AM76" s="9">
        <v>1.0</v>
      </c>
      <c r="AN76" s="9">
        <v>1.0</v>
      </c>
      <c r="AO76" s="9">
        <v>1.0</v>
      </c>
    </row>
    <row r="77">
      <c r="A77" s="6" t="s">
        <v>180</v>
      </c>
      <c r="B77" s="9">
        <v>1.0</v>
      </c>
      <c r="C77" s="9">
        <v>1.0</v>
      </c>
      <c r="D77" s="9">
        <v>1.0</v>
      </c>
      <c r="E77" s="9">
        <v>1.0</v>
      </c>
      <c r="F77" s="9">
        <v>1.0</v>
      </c>
      <c r="G77" s="9">
        <v>1.0</v>
      </c>
      <c r="H77" s="9">
        <v>1.0</v>
      </c>
      <c r="I77" s="9">
        <v>1.0</v>
      </c>
      <c r="J77" s="9">
        <v>1.0</v>
      </c>
      <c r="K77" s="9">
        <v>1.0</v>
      </c>
      <c r="L77" s="9">
        <v>1.0</v>
      </c>
      <c r="M77" s="9">
        <v>1.0</v>
      </c>
      <c r="N77" s="9">
        <v>1.0</v>
      </c>
      <c r="O77" s="9">
        <v>1.0</v>
      </c>
      <c r="P77" s="9">
        <v>1.0</v>
      </c>
      <c r="Q77" s="9">
        <v>1.0</v>
      </c>
      <c r="R77" s="9">
        <v>1.0</v>
      </c>
      <c r="S77" s="9">
        <v>1.0</v>
      </c>
      <c r="T77" s="9">
        <v>1.0</v>
      </c>
      <c r="U77" s="9">
        <v>1.0</v>
      </c>
      <c r="V77" s="9">
        <v>1.0</v>
      </c>
      <c r="W77" s="9">
        <v>1.0</v>
      </c>
      <c r="X77" s="9">
        <v>1.0</v>
      </c>
      <c r="Y77" s="9">
        <v>1.0</v>
      </c>
      <c r="Z77" s="9">
        <v>1.0</v>
      </c>
      <c r="AA77" s="9">
        <v>1.0</v>
      </c>
      <c r="AB77" s="9">
        <v>1.0</v>
      </c>
      <c r="AC77" s="9">
        <v>1.0</v>
      </c>
      <c r="AD77" s="9">
        <v>1.0</v>
      </c>
      <c r="AE77" s="9">
        <v>1.0</v>
      </c>
      <c r="AF77" s="9">
        <v>1.0</v>
      </c>
      <c r="AG77" s="9">
        <v>1.0</v>
      </c>
      <c r="AH77" s="9">
        <v>1.0</v>
      </c>
      <c r="AI77" s="9">
        <v>1.0</v>
      </c>
      <c r="AJ77" s="9">
        <v>1.0</v>
      </c>
      <c r="AK77" s="9">
        <v>1.0</v>
      </c>
      <c r="AL77" s="9">
        <v>1.0</v>
      </c>
      <c r="AM77" s="9">
        <v>1.0</v>
      </c>
      <c r="AN77" s="9">
        <v>1.0</v>
      </c>
      <c r="AO77" s="9">
        <v>1.0</v>
      </c>
    </row>
    <row r="78">
      <c r="A78" s="6" t="s">
        <v>182</v>
      </c>
      <c r="B78" s="9">
        <v>1.0</v>
      </c>
      <c r="C78" s="9">
        <v>1.0</v>
      </c>
      <c r="D78" s="9">
        <v>1.0</v>
      </c>
      <c r="E78" s="9">
        <v>1.0</v>
      </c>
      <c r="F78" s="9">
        <v>1.0</v>
      </c>
      <c r="G78" s="9">
        <v>1.0</v>
      </c>
      <c r="H78" s="9">
        <v>1.0</v>
      </c>
      <c r="I78" s="9">
        <v>1.0</v>
      </c>
      <c r="J78" s="9">
        <v>1.0</v>
      </c>
      <c r="K78" s="9">
        <v>1.0</v>
      </c>
      <c r="L78" s="9">
        <v>1.0</v>
      </c>
      <c r="M78" s="9">
        <v>1.0</v>
      </c>
      <c r="N78" s="9">
        <v>1.0</v>
      </c>
      <c r="O78" s="9">
        <v>1.0</v>
      </c>
      <c r="P78" s="9">
        <v>1.0</v>
      </c>
      <c r="Q78" s="9">
        <v>1.0</v>
      </c>
      <c r="R78" s="9">
        <v>1.0</v>
      </c>
      <c r="S78" s="9">
        <v>1.0</v>
      </c>
      <c r="T78" s="9">
        <v>1.0</v>
      </c>
      <c r="U78" s="9">
        <v>1.0</v>
      </c>
      <c r="V78" s="9">
        <v>1.0</v>
      </c>
      <c r="W78" s="9">
        <v>1.0</v>
      </c>
      <c r="X78" s="9">
        <v>1.0</v>
      </c>
      <c r="Y78" s="9">
        <v>1.0</v>
      </c>
      <c r="Z78" s="9">
        <v>1.0</v>
      </c>
      <c r="AA78" s="9">
        <v>1.0</v>
      </c>
      <c r="AB78" s="9">
        <v>1.0</v>
      </c>
      <c r="AC78" s="9">
        <v>1.0</v>
      </c>
      <c r="AD78" s="9">
        <v>1.0</v>
      </c>
      <c r="AE78" s="9">
        <v>1.0</v>
      </c>
      <c r="AF78" s="9">
        <v>1.0</v>
      </c>
      <c r="AG78" s="9">
        <v>1.0</v>
      </c>
      <c r="AH78" s="9">
        <v>1.0</v>
      </c>
      <c r="AI78" s="9">
        <v>1.0</v>
      </c>
      <c r="AJ78" s="9">
        <v>1.0</v>
      </c>
      <c r="AK78" s="9">
        <v>1.0</v>
      </c>
      <c r="AL78" s="9">
        <v>1.0</v>
      </c>
      <c r="AM78" s="9">
        <v>1.0</v>
      </c>
      <c r="AN78" s="9">
        <v>1.0</v>
      </c>
      <c r="AO78" s="9">
        <v>1.0</v>
      </c>
    </row>
    <row r="79">
      <c r="A79" s="6" t="s">
        <v>184</v>
      </c>
      <c r="B79" s="9">
        <v>1.0</v>
      </c>
      <c r="C79" s="9">
        <v>1.0</v>
      </c>
      <c r="D79" s="9">
        <v>1.0</v>
      </c>
      <c r="E79" s="9">
        <v>1.0</v>
      </c>
      <c r="F79" s="9">
        <v>1.0</v>
      </c>
      <c r="G79" s="9">
        <v>1.0</v>
      </c>
      <c r="H79" s="9">
        <v>1.0</v>
      </c>
      <c r="I79" s="9">
        <v>1.0</v>
      </c>
      <c r="J79" s="9">
        <v>1.0</v>
      </c>
      <c r="K79" s="9">
        <v>1.0</v>
      </c>
      <c r="L79" s="9">
        <v>1.0</v>
      </c>
      <c r="M79" s="9">
        <v>1.0</v>
      </c>
      <c r="N79" s="9">
        <v>1.0</v>
      </c>
      <c r="O79" s="9">
        <v>1.0</v>
      </c>
      <c r="P79" s="9">
        <v>1.0</v>
      </c>
      <c r="Q79" s="9">
        <v>1.0</v>
      </c>
      <c r="R79" s="9">
        <v>1.0</v>
      </c>
      <c r="S79" s="9">
        <v>1.0</v>
      </c>
      <c r="T79" s="9">
        <v>1.0</v>
      </c>
      <c r="U79" s="9">
        <v>1.0</v>
      </c>
      <c r="V79" s="9">
        <v>1.0</v>
      </c>
      <c r="W79" s="9">
        <v>1.0</v>
      </c>
      <c r="X79" s="9">
        <v>1.0</v>
      </c>
      <c r="Y79" s="9">
        <v>1.0</v>
      </c>
      <c r="Z79" s="9">
        <v>1.0</v>
      </c>
      <c r="AA79" s="9">
        <v>1.0</v>
      </c>
      <c r="AB79" s="9">
        <v>1.0</v>
      </c>
      <c r="AC79" s="9">
        <v>1.0</v>
      </c>
      <c r="AD79" s="9">
        <v>1.0</v>
      </c>
      <c r="AE79" s="9">
        <v>1.0</v>
      </c>
      <c r="AF79" s="9">
        <v>1.0</v>
      </c>
      <c r="AG79" s="9">
        <v>1.0</v>
      </c>
      <c r="AH79" s="9">
        <v>1.0</v>
      </c>
      <c r="AI79" s="9">
        <v>1.0</v>
      </c>
      <c r="AJ79" s="9">
        <v>1.0</v>
      </c>
      <c r="AK79" s="9">
        <v>1.0</v>
      </c>
      <c r="AL79" s="9">
        <v>1.0</v>
      </c>
      <c r="AM79" s="9">
        <v>1.0</v>
      </c>
      <c r="AN79" s="9">
        <v>1.0</v>
      </c>
      <c r="AO79" s="9">
        <v>1.0</v>
      </c>
    </row>
    <row r="80">
      <c r="A80" s="6" t="s">
        <v>186</v>
      </c>
      <c r="B80" s="9">
        <v>1.0</v>
      </c>
      <c r="C80" s="9">
        <v>1.0</v>
      </c>
      <c r="D80" s="9">
        <v>1.0</v>
      </c>
      <c r="E80" s="9">
        <v>1.0</v>
      </c>
      <c r="F80" s="9">
        <v>1.0</v>
      </c>
      <c r="G80" s="9">
        <v>1.0</v>
      </c>
      <c r="H80" s="9">
        <v>1.0</v>
      </c>
      <c r="I80" s="9">
        <v>1.0</v>
      </c>
      <c r="J80" s="9">
        <v>1.0</v>
      </c>
      <c r="K80" s="9">
        <v>1.0</v>
      </c>
      <c r="L80" s="9">
        <v>1.0</v>
      </c>
      <c r="M80" s="9">
        <v>1.0</v>
      </c>
      <c r="N80" s="9">
        <v>1.0</v>
      </c>
      <c r="O80" s="9">
        <v>1.0</v>
      </c>
      <c r="P80" s="9">
        <v>1.0</v>
      </c>
      <c r="Q80" s="9">
        <v>1.0</v>
      </c>
      <c r="R80" s="9">
        <v>1.0</v>
      </c>
      <c r="S80" s="9">
        <v>1.0</v>
      </c>
      <c r="T80" s="9">
        <v>1.0</v>
      </c>
      <c r="U80" s="9">
        <v>1.0</v>
      </c>
      <c r="V80" s="9">
        <v>1.0</v>
      </c>
      <c r="W80" s="9">
        <v>1.0</v>
      </c>
      <c r="X80" s="9">
        <v>1.0</v>
      </c>
      <c r="Y80" s="9">
        <v>1.0</v>
      </c>
      <c r="Z80" s="9">
        <v>1.0</v>
      </c>
      <c r="AA80" s="9">
        <v>1.0</v>
      </c>
      <c r="AB80" s="9">
        <v>1.0</v>
      </c>
      <c r="AC80" s="9">
        <v>1.0</v>
      </c>
      <c r="AD80" s="9">
        <v>1.0</v>
      </c>
      <c r="AE80" s="9">
        <v>1.0</v>
      </c>
      <c r="AF80" s="9">
        <v>1.0</v>
      </c>
      <c r="AG80" s="9">
        <v>1.0</v>
      </c>
      <c r="AH80" s="9">
        <v>1.0</v>
      </c>
      <c r="AI80" s="9">
        <v>1.0</v>
      </c>
      <c r="AJ80" s="9">
        <v>1.0</v>
      </c>
      <c r="AK80" s="9">
        <v>1.0</v>
      </c>
      <c r="AL80" s="9">
        <v>1.0</v>
      </c>
      <c r="AM80" s="9">
        <v>1.0</v>
      </c>
      <c r="AN80" s="9">
        <v>1.0</v>
      </c>
      <c r="AO80" s="9">
        <v>1.0</v>
      </c>
    </row>
    <row r="81">
      <c r="A81" s="6" t="s">
        <v>188</v>
      </c>
      <c r="B81" s="9">
        <v>1.0</v>
      </c>
      <c r="C81" s="9">
        <v>1.0</v>
      </c>
      <c r="D81" s="9">
        <v>1.0</v>
      </c>
      <c r="E81" s="9">
        <v>1.0</v>
      </c>
      <c r="F81" s="9">
        <v>1.0</v>
      </c>
      <c r="G81" s="9">
        <v>1.0</v>
      </c>
      <c r="H81" s="9">
        <v>1.0</v>
      </c>
      <c r="I81" s="9">
        <v>1.0</v>
      </c>
      <c r="J81" s="9">
        <v>1.0</v>
      </c>
      <c r="K81" s="9">
        <v>1.0</v>
      </c>
      <c r="L81" s="9">
        <v>1.0</v>
      </c>
      <c r="M81" s="9">
        <v>1.0</v>
      </c>
      <c r="N81" s="9">
        <v>1.0</v>
      </c>
      <c r="O81" s="9">
        <v>1.0</v>
      </c>
      <c r="P81" s="9">
        <v>1.0</v>
      </c>
      <c r="Q81" s="9">
        <v>1.0</v>
      </c>
      <c r="R81" s="9">
        <v>1.0</v>
      </c>
      <c r="S81" s="9">
        <v>1.0</v>
      </c>
      <c r="T81" s="9">
        <v>1.0</v>
      </c>
      <c r="U81" s="9">
        <v>1.0</v>
      </c>
      <c r="V81" s="9">
        <v>1.0</v>
      </c>
      <c r="W81" s="9">
        <v>1.0</v>
      </c>
      <c r="X81" s="9">
        <v>1.0</v>
      </c>
      <c r="Y81" s="9">
        <v>1.0</v>
      </c>
      <c r="Z81" s="9">
        <v>1.0</v>
      </c>
      <c r="AA81" s="9">
        <v>1.0</v>
      </c>
      <c r="AB81" s="9">
        <v>1.0</v>
      </c>
      <c r="AC81" s="9">
        <v>1.0</v>
      </c>
      <c r="AD81" s="9">
        <v>1.0</v>
      </c>
      <c r="AE81" s="9">
        <v>1.0</v>
      </c>
      <c r="AF81" s="9">
        <v>1.0</v>
      </c>
      <c r="AG81" s="9">
        <v>1.0</v>
      </c>
      <c r="AH81" s="9">
        <v>1.0</v>
      </c>
      <c r="AI81" s="9">
        <v>1.0</v>
      </c>
      <c r="AJ81" s="9">
        <v>1.0</v>
      </c>
      <c r="AK81" s="9">
        <v>1.0</v>
      </c>
      <c r="AL81" s="9">
        <v>1.0</v>
      </c>
      <c r="AM81" s="9">
        <v>1.0</v>
      </c>
      <c r="AN81" s="9">
        <v>1.0</v>
      </c>
      <c r="AO81" s="9">
        <v>1.0</v>
      </c>
    </row>
    <row r="82">
      <c r="A82" s="6" t="s">
        <v>190</v>
      </c>
      <c r="B82" s="9">
        <v>1.0</v>
      </c>
      <c r="C82" s="9">
        <v>1.0</v>
      </c>
      <c r="D82" s="9">
        <v>1.0</v>
      </c>
      <c r="E82" s="9">
        <v>1.0</v>
      </c>
      <c r="F82" s="9">
        <v>1.0</v>
      </c>
      <c r="G82" s="9">
        <v>1.0</v>
      </c>
      <c r="H82" s="9">
        <v>1.0</v>
      </c>
      <c r="I82" s="9">
        <v>1.0</v>
      </c>
      <c r="J82" s="9">
        <v>1.0</v>
      </c>
      <c r="K82" s="9">
        <v>1.0</v>
      </c>
      <c r="L82" s="9">
        <v>1.0</v>
      </c>
      <c r="M82" s="9">
        <v>1.0</v>
      </c>
      <c r="N82" s="9">
        <v>1.0</v>
      </c>
      <c r="O82" s="9">
        <v>1.0</v>
      </c>
      <c r="P82" s="9">
        <v>1.0</v>
      </c>
      <c r="Q82" s="9">
        <v>1.0</v>
      </c>
      <c r="R82" s="9">
        <v>1.0</v>
      </c>
      <c r="S82" s="9">
        <v>1.0</v>
      </c>
      <c r="T82" s="9">
        <v>1.0</v>
      </c>
      <c r="U82" s="9">
        <v>1.0</v>
      </c>
      <c r="V82" s="9">
        <v>1.0</v>
      </c>
      <c r="W82" s="9">
        <v>1.0</v>
      </c>
      <c r="X82" s="9">
        <v>1.0</v>
      </c>
      <c r="Y82" s="9">
        <v>1.0</v>
      </c>
      <c r="Z82" s="9">
        <v>1.0</v>
      </c>
      <c r="AA82" s="9">
        <v>1.0</v>
      </c>
      <c r="AB82" s="9">
        <v>1.0</v>
      </c>
      <c r="AC82" s="9">
        <v>1.0</v>
      </c>
      <c r="AD82" s="9">
        <v>1.0</v>
      </c>
      <c r="AE82" s="9">
        <v>1.0</v>
      </c>
      <c r="AF82" s="9">
        <v>1.0</v>
      </c>
      <c r="AG82" s="9">
        <v>1.0</v>
      </c>
      <c r="AH82" s="9">
        <v>1.0</v>
      </c>
      <c r="AI82" s="9">
        <v>1.0</v>
      </c>
      <c r="AJ82" s="9">
        <v>1.0</v>
      </c>
      <c r="AK82" s="9">
        <v>1.0</v>
      </c>
      <c r="AL82" s="9">
        <v>1.0</v>
      </c>
      <c r="AM82" s="9">
        <v>1.0</v>
      </c>
      <c r="AN82" s="9">
        <v>1.0</v>
      </c>
      <c r="AO82" s="9">
        <v>1.0</v>
      </c>
    </row>
    <row r="83">
      <c r="A83" s="6"/>
    </row>
  </sheetData>
  <mergeCells count="3">
    <mergeCell ref="B1:P1"/>
    <mergeCell ref="B2:P2"/>
    <mergeCell ref="B3:P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75"/>
    <col customWidth="1" min="3" max="3" width="21.13"/>
    <col customWidth="1" min="4" max="4" width="17.38"/>
    <col customWidth="1" min="5" max="5" width="16.0"/>
    <col customWidth="1" min="6" max="6" width="14.0"/>
  </cols>
  <sheetData>
    <row r="2" ht="22.5" customHeight="1">
      <c r="A2" s="11" t="s">
        <v>228</v>
      </c>
      <c r="B2" s="11" t="s">
        <v>245</v>
      </c>
      <c r="C2" s="11" t="s">
        <v>251</v>
      </c>
      <c r="D2" s="11" t="s">
        <v>255</v>
      </c>
      <c r="E2" s="11" t="s">
        <v>260</v>
      </c>
      <c r="F2" s="11" t="s">
        <v>261</v>
      </c>
    </row>
    <row r="3" ht="22.5" customHeight="1">
      <c r="A3" s="12" t="str">
        <f t="array" ref="A3:A229">UNIQUE(Names!C3:C1000)</f>
        <v>C.Ciudadana 1A</v>
      </c>
      <c r="B3" s="14">
        <v>1.0</v>
      </c>
      <c r="C3" s="14">
        <v>2.0</v>
      </c>
      <c r="D3" s="14">
        <f t="shared" ref="D3:D228" si="1">B3*C3</f>
        <v>2</v>
      </c>
      <c r="E3" s="15" t="s">
        <v>9</v>
      </c>
      <c r="F3" s="15" t="s">
        <v>8</v>
      </c>
    </row>
    <row r="4" ht="22.5" customHeight="1">
      <c r="A4" s="12" t="s">
        <v>15</v>
      </c>
      <c r="B4" s="14">
        <v>1.0</v>
      </c>
      <c r="C4" s="14">
        <v>2.0</v>
      </c>
      <c r="D4" s="14">
        <f t="shared" si="1"/>
        <v>2</v>
      </c>
      <c r="E4" s="15" t="s">
        <v>9</v>
      </c>
      <c r="F4" s="15" t="s">
        <v>13</v>
      </c>
    </row>
    <row r="5" ht="22.5" customHeight="1">
      <c r="A5" s="12" t="s">
        <v>20</v>
      </c>
      <c r="B5" s="14">
        <v>1.0</v>
      </c>
      <c r="C5" s="14">
        <v>2.0</v>
      </c>
      <c r="D5" s="14">
        <f t="shared" si="1"/>
        <v>2</v>
      </c>
      <c r="E5" s="15" t="s">
        <v>9</v>
      </c>
      <c r="F5" s="15" t="s">
        <v>18</v>
      </c>
    </row>
    <row r="6" ht="22.5" customHeight="1">
      <c r="A6" s="12" t="s">
        <v>25</v>
      </c>
      <c r="B6" s="14">
        <v>1.0</v>
      </c>
      <c r="C6" s="14">
        <v>2.0</v>
      </c>
      <c r="D6" s="14">
        <f t="shared" si="1"/>
        <v>2</v>
      </c>
      <c r="E6" s="15" t="s">
        <v>112</v>
      </c>
      <c r="F6" s="15" t="s">
        <v>23</v>
      </c>
    </row>
    <row r="7" ht="22.5" customHeight="1">
      <c r="A7" s="12" t="s">
        <v>30</v>
      </c>
      <c r="B7" s="14">
        <v>1.0</v>
      </c>
      <c r="C7" s="14">
        <v>2.0</v>
      </c>
      <c r="D7" s="14">
        <f t="shared" si="1"/>
        <v>2</v>
      </c>
      <c r="E7" s="15" t="s">
        <v>9</v>
      </c>
      <c r="F7" s="15" t="s">
        <v>28</v>
      </c>
    </row>
    <row r="8" ht="22.5" customHeight="1">
      <c r="A8" s="12" t="s">
        <v>35</v>
      </c>
      <c r="B8" s="14">
        <v>1.0</v>
      </c>
      <c r="C8" s="14">
        <v>2.0</v>
      </c>
      <c r="D8" s="14">
        <f t="shared" si="1"/>
        <v>2</v>
      </c>
      <c r="E8" s="15" t="s">
        <v>112</v>
      </c>
      <c r="F8" s="15" t="s">
        <v>33</v>
      </c>
    </row>
    <row r="9" ht="22.5" customHeight="1">
      <c r="A9" s="12" t="s">
        <v>39</v>
      </c>
      <c r="B9" s="14">
        <v>1.0</v>
      </c>
      <c r="C9" s="14">
        <v>2.0</v>
      </c>
      <c r="D9" s="14">
        <f t="shared" si="1"/>
        <v>2</v>
      </c>
      <c r="E9" s="15" t="s">
        <v>120</v>
      </c>
      <c r="F9" s="15" t="s">
        <v>37</v>
      </c>
    </row>
    <row r="10" ht="22.5" customHeight="1">
      <c r="A10" s="12" t="s">
        <v>43</v>
      </c>
      <c r="B10" s="14">
        <v>1.0</v>
      </c>
      <c r="C10" s="14">
        <v>2.0</v>
      </c>
      <c r="D10" s="14">
        <f t="shared" si="1"/>
        <v>2</v>
      </c>
      <c r="E10" s="15" t="s">
        <v>120</v>
      </c>
      <c r="F10" s="15" t="s">
        <v>41</v>
      </c>
    </row>
    <row r="11" ht="22.5" customHeight="1">
      <c r="A11" s="12" t="s">
        <v>47</v>
      </c>
      <c r="B11" s="14">
        <v>1.0</v>
      </c>
      <c r="C11" s="14">
        <v>2.0</v>
      </c>
      <c r="D11" s="14">
        <f t="shared" si="1"/>
        <v>2</v>
      </c>
      <c r="E11" s="15" t="s">
        <v>124</v>
      </c>
      <c r="F11" s="15" t="s">
        <v>45</v>
      </c>
    </row>
    <row r="12" ht="22.5" customHeight="1">
      <c r="A12" s="12" t="s">
        <v>50</v>
      </c>
      <c r="B12" s="14">
        <v>2.0</v>
      </c>
      <c r="C12" s="14">
        <v>2.0</v>
      </c>
      <c r="D12" s="14">
        <f t="shared" si="1"/>
        <v>4</v>
      </c>
      <c r="E12" s="15" t="s">
        <v>126</v>
      </c>
      <c r="F12" s="15" t="s">
        <v>8</v>
      </c>
    </row>
    <row r="13" ht="22.5" customHeight="1">
      <c r="A13" s="12" t="s">
        <v>53</v>
      </c>
      <c r="B13" s="14">
        <v>2.0</v>
      </c>
      <c r="C13" s="14">
        <v>2.0</v>
      </c>
      <c r="D13" s="14">
        <f t="shared" si="1"/>
        <v>4</v>
      </c>
      <c r="E13" s="15" t="s">
        <v>126</v>
      </c>
      <c r="F13" s="15" t="s">
        <v>13</v>
      </c>
    </row>
    <row r="14" ht="22.5" customHeight="1">
      <c r="A14" s="12" t="s">
        <v>56</v>
      </c>
      <c r="B14" s="14">
        <v>2.0</v>
      </c>
      <c r="C14" s="14">
        <v>2.0</v>
      </c>
      <c r="D14" s="14">
        <f t="shared" si="1"/>
        <v>4</v>
      </c>
      <c r="E14" s="15" t="s">
        <v>126</v>
      </c>
      <c r="F14" s="15" t="s">
        <v>18</v>
      </c>
    </row>
    <row r="15" ht="22.5" customHeight="1">
      <c r="A15" s="12" t="s">
        <v>59</v>
      </c>
      <c r="B15" s="14">
        <v>2.0</v>
      </c>
      <c r="C15" s="14">
        <v>2.0</v>
      </c>
      <c r="D15" s="14">
        <f t="shared" si="1"/>
        <v>4</v>
      </c>
      <c r="E15" s="15" t="s">
        <v>126</v>
      </c>
      <c r="F15" s="15" t="s">
        <v>23</v>
      </c>
    </row>
    <row r="16" ht="22.5" customHeight="1">
      <c r="A16" s="12" t="s">
        <v>62</v>
      </c>
      <c r="B16" s="14">
        <v>2.0</v>
      </c>
      <c r="C16" s="14">
        <v>2.0</v>
      </c>
      <c r="D16" s="14">
        <f t="shared" si="1"/>
        <v>4</v>
      </c>
      <c r="E16" s="15" t="s">
        <v>126</v>
      </c>
      <c r="F16" s="15" t="s">
        <v>28</v>
      </c>
    </row>
    <row r="17" ht="22.5" customHeight="1">
      <c r="A17" s="12" t="s">
        <v>65</v>
      </c>
      <c r="B17" s="14">
        <v>2.0</v>
      </c>
      <c r="C17" s="14">
        <v>2.0</v>
      </c>
      <c r="D17" s="14">
        <f t="shared" si="1"/>
        <v>4</v>
      </c>
      <c r="E17" s="15" t="s">
        <v>126</v>
      </c>
      <c r="F17" s="15" t="s">
        <v>33</v>
      </c>
    </row>
    <row r="18" ht="22.5" customHeight="1">
      <c r="A18" s="12" t="s">
        <v>68</v>
      </c>
      <c r="B18" s="14">
        <v>2.0</v>
      </c>
      <c r="C18" s="14">
        <v>2.0</v>
      </c>
      <c r="D18" s="14">
        <f t="shared" si="1"/>
        <v>4</v>
      </c>
      <c r="E18" s="15" t="s">
        <v>42</v>
      </c>
      <c r="F18" s="15" t="s">
        <v>37</v>
      </c>
    </row>
    <row r="19" ht="22.5" customHeight="1">
      <c r="A19" s="12" t="s">
        <v>71</v>
      </c>
      <c r="B19" s="14">
        <v>2.0</v>
      </c>
      <c r="C19" s="14">
        <v>2.0</v>
      </c>
      <c r="D19" s="14">
        <f t="shared" si="1"/>
        <v>4</v>
      </c>
      <c r="E19" s="15" t="s">
        <v>42</v>
      </c>
      <c r="F19" s="15" t="s">
        <v>41</v>
      </c>
    </row>
    <row r="20" ht="22.5" customHeight="1">
      <c r="A20" s="12" t="s">
        <v>74</v>
      </c>
      <c r="B20" s="14">
        <v>2.0</v>
      </c>
      <c r="C20" s="14">
        <v>2.0</v>
      </c>
      <c r="D20" s="14">
        <f t="shared" si="1"/>
        <v>4</v>
      </c>
      <c r="E20" s="15" t="s">
        <v>42</v>
      </c>
      <c r="F20" s="15" t="s">
        <v>45</v>
      </c>
    </row>
    <row r="21" ht="22.5" customHeight="1">
      <c r="A21" s="12" t="s">
        <v>76</v>
      </c>
      <c r="B21" s="14">
        <v>1.0</v>
      </c>
      <c r="C21" s="14">
        <v>3.0</v>
      </c>
      <c r="D21" s="14">
        <f t="shared" si="1"/>
        <v>3</v>
      </c>
      <c r="E21" s="15" t="s">
        <v>122</v>
      </c>
      <c r="F21" s="15" t="s">
        <v>48</v>
      </c>
    </row>
    <row r="22" ht="22.5" customHeight="1">
      <c r="A22" s="12" t="s">
        <v>79</v>
      </c>
      <c r="B22" s="14">
        <v>1.0</v>
      </c>
      <c r="C22" s="14">
        <v>3.0</v>
      </c>
      <c r="D22" s="14">
        <f t="shared" si="1"/>
        <v>3</v>
      </c>
      <c r="E22" s="15" t="s">
        <v>122</v>
      </c>
      <c r="F22" s="15" t="s">
        <v>51</v>
      </c>
    </row>
    <row r="23" ht="22.5" customHeight="1">
      <c r="A23" s="12" t="s">
        <v>81</v>
      </c>
      <c r="B23" s="14">
        <v>1.0</v>
      </c>
      <c r="C23" s="14">
        <v>3.0</v>
      </c>
      <c r="D23" s="14">
        <f t="shared" si="1"/>
        <v>3</v>
      </c>
      <c r="E23" s="15" t="s">
        <v>126</v>
      </c>
      <c r="F23" s="15" t="s">
        <v>54</v>
      </c>
    </row>
    <row r="24" ht="22.5" customHeight="1">
      <c r="A24" s="12" t="s">
        <v>83</v>
      </c>
      <c r="B24" s="14">
        <v>1.0</v>
      </c>
      <c r="C24" s="14">
        <v>3.0</v>
      </c>
      <c r="D24" s="14">
        <f t="shared" si="1"/>
        <v>3</v>
      </c>
      <c r="E24" s="15" t="s">
        <v>67</v>
      </c>
      <c r="F24" s="15" t="s">
        <v>57</v>
      </c>
    </row>
    <row r="25" ht="22.5" customHeight="1">
      <c r="A25" s="12" t="s">
        <v>85</v>
      </c>
      <c r="B25" s="14">
        <v>1.0</v>
      </c>
      <c r="C25" s="14">
        <v>3.0</v>
      </c>
      <c r="D25" s="14">
        <f t="shared" si="1"/>
        <v>3</v>
      </c>
      <c r="E25" s="15" t="s">
        <v>67</v>
      </c>
      <c r="F25" s="15" t="s">
        <v>60</v>
      </c>
    </row>
    <row r="26" ht="22.5" customHeight="1">
      <c r="A26" s="12" t="s">
        <v>87</v>
      </c>
      <c r="B26" s="14">
        <v>1.0</v>
      </c>
      <c r="C26" s="14">
        <v>3.0</v>
      </c>
      <c r="D26" s="14">
        <f t="shared" si="1"/>
        <v>3</v>
      </c>
      <c r="E26" s="15" t="s">
        <v>67</v>
      </c>
      <c r="F26" s="15" t="s">
        <v>63</v>
      </c>
    </row>
    <row r="27" ht="22.5" customHeight="1">
      <c r="A27" s="12" t="s">
        <v>89</v>
      </c>
      <c r="B27" s="14">
        <v>2.0</v>
      </c>
      <c r="C27" s="14">
        <v>2.0</v>
      </c>
      <c r="D27" s="14">
        <f t="shared" si="1"/>
        <v>4</v>
      </c>
      <c r="E27" s="15" t="s">
        <v>61</v>
      </c>
      <c r="F27" s="15" t="s">
        <v>66</v>
      </c>
    </row>
    <row r="28" ht="22.5" customHeight="1">
      <c r="A28" s="12" t="s">
        <v>91</v>
      </c>
      <c r="B28" s="14">
        <v>2.0</v>
      </c>
      <c r="C28" s="14">
        <v>2.0</v>
      </c>
      <c r="D28" s="14">
        <f t="shared" si="1"/>
        <v>4</v>
      </c>
      <c r="E28" s="15" t="s">
        <v>122</v>
      </c>
      <c r="F28" s="15" t="s">
        <v>69</v>
      </c>
    </row>
    <row r="29" ht="22.5" customHeight="1">
      <c r="A29" s="12" t="s">
        <v>93</v>
      </c>
      <c r="B29" s="14">
        <v>2.0</v>
      </c>
      <c r="C29" s="14">
        <v>2.0</v>
      </c>
      <c r="D29" s="14">
        <f t="shared" si="1"/>
        <v>4</v>
      </c>
      <c r="E29" s="15" t="s">
        <v>122</v>
      </c>
      <c r="F29" s="15" t="s">
        <v>72</v>
      </c>
    </row>
    <row r="30" ht="22.5" customHeight="1">
      <c r="A30" s="12" t="s">
        <v>96</v>
      </c>
      <c r="B30" s="14">
        <v>2.0</v>
      </c>
      <c r="C30" s="14">
        <v>2.0</v>
      </c>
      <c r="D30" s="14">
        <f t="shared" si="1"/>
        <v>4</v>
      </c>
      <c r="E30" s="15" t="s">
        <v>38</v>
      </c>
      <c r="F30" s="15" t="s">
        <v>8</v>
      </c>
    </row>
    <row r="31" ht="22.5" customHeight="1">
      <c r="A31" s="12" t="s">
        <v>98</v>
      </c>
      <c r="B31" s="14">
        <v>2.0</v>
      </c>
      <c r="C31" s="14">
        <v>2.0</v>
      </c>
      <c r="D31" s="14">
        <f t="shared" si="1"/>
        <v>4</v>
      </c>
      <c r="E31" s="15" t="s">
        <v>38</v>
      </c>
      <c r="F31" s="15" t="s">
        <v>13</v>
      </c>
    </row>
    <row r="32" ht="22.5" customHeight="1">
      <c r="A32" s="12" t="s">
        <v>101</v>
      </c>
      <c r="B32" s="14">
        <v>2.0</v>
      </c>
      <c r="C32" s="14">
        <v>2.0</v>
      </c>
      <c r="D32" s="14">
        <f t="shared" si="1"/>
        <v>4</v>
      </c>
      <c r="E32" s="15" t="s">
        <v>38</v>
      </c>
      <c r="F32" s="15" t="s">
        <v>18</v>
      </c>
    </row>
    <row r="33" ht="22.5" customHeight="1">
      <c r="A33" s="12" t="s">
        <v>103</v>
      </c>
      <c r="B33" s="14">
        <v>1.0</v>
      </c>
      <c r="C33" s="14">
        <v>9.0</v>
      </c>
      <c r="D33" s="14">
        <f t="shared" si="1"/>
        <v>9</v>
      </c>
      <c r="E33" s="15" t="s">
        <v>156</v>
      </c>
      <c r="F33" s="15" t="s">
        <v>8</v>
      </c>
    </row>
    <row r="34" ht="22.5" customHeight="1">
      <c r="A34" s="12" t="s">
        <v>105</v>
      </c>
      <c r="B34" s="14">
        <v>1.0</v>
      </c>
      <c r="C34" s="14">
        <v>9.0</v>
      </c>
      <c r="D34" s="14">
        <f t="shared" si="1"/>
        <v>9</v>
      </c>
      <c r="E34" s="15" t="s">
        <v>158</v>
      </c>
      <c r="F34" s="15" t="s">
        <v>13</v>
      </c>
    </row>
    <row r="35" ht="22.5" customHeight="1">
      <c r="A35" s="12" t="s">
        <v>107</v>
      </c>
      <c r="B35" s="14">
        <v>1.0</v>
      </c>
      <c r="C35" s="14">
        <v>9.0</v>
      </c>
      <c r="D35" s="14">
        <f t="shared" si="1"/>
        <v>9</v>
      </c>
      <c r="E35" s="15" t="s">
        <v>160</v>
      </c>
      <c r="F35" s="15" t="s">
        <v>18</v>
      </c>
    </row>
    <row r="36" ht="22.5" customHeight="1">
      <c r="A36" s="12" t="s">
        <v>109</v>
      </c>
      <c r="B36" s="14">
        <v>1.0</v>
      </c>
      <c r="C36" s="14">
        <v>8.0</v>
      </c>
      <c r="D36" s="14">
        <f t="shared" si="1"/>
        <v>8</v>
      </c>
      <c r="E36" s="15" t="s">
        <v>162</v>
      </c>
      <c r="F36" s="15" t="s">
        <v>23</v>
      </c>
    </row>
    <row r="37" ht="22.5" customHeight="1">
      <c r="A37" s="12" t="s">
        <v>111</v>
      </c>
      <c r="B37" s="14">
        <v>1.0</v>
      </c>
      <c r="C37" s="14">
        <v>8.0</v>
      </c>
      <c r="D37" s="14">
        <f t="shared" si="1"/>
        <v>8</v>
      </c>
      <c r="E37" s="15" t="s">
        <v>164</v>
      </c>
      <c r="F37" s="15" t="s">
        <v>28</v>
      </c>
    </row>
    <row r="38" ht="22.5" customHeight="1">
      <c r="A38" s="12" t="s">
        <v>113</v>
      </c>
      <c r="B38" s="14">
        <v>1.0</v>
      </c>
      <c r="C38" s="14">
        <v>8.0</v>
      </c>
      <c r="D38" s="14">
        <f t="shared" si="1"/>
        <v>8</v>
      </c>
      <c r="E38" s="15" t="s">
        <v>166</v>
      </c>
      <c r="F38" s="15" t="s">
        <v>33</v>
      </c>
    </row>
    <row r="39" ht="22.5" customHeight="1">
      <c r="A39" s="12" t="s">
        <v>115</v>
      </c>
      <c r="B39" s="14">
        <v>1.0</v>
      </c>
      <c r="C39" s="14">
        <v>8.0</v>
      </c>
      <c r="D39" s="14">
        <f t="shared" si="1"/>
        <v>8</v>
      </c>
      <c r="E39" s="15" t="s">
        <v>168</v>
      </c>
      <c r="F39" s="15" t="s">
        <v>37</v>
      </c>
    </row>
    <row r="40" ht="22.5" customHeight="1">
      <c r="A40" s="12" t="s">
        <v>117</v>
      </c>
      <c r="B40" s="14">
        <v>1.0</v>
      </c>
      <c r="C40" s="14">
        <v>8.0</v>
      </c>
      <c r="D40" s="14">
        <f t="shared" si="1"/>
        <v>8</v>
      </c>
      <c r="E40" s="15" t="s">
        <v>170</v>
      </c>
      <c r="F40" s="15" t="s">
        <v>41</v>
      </c>
    </row>
    <row r="41" ht="22.5" customHeight="1">
      <c r="A41" s="12" t="s">
        <v>119</v>
      </c>
      <c r="B41" s="14">
        <v>1.0</v>
      </c>
      <c r="C41" s="14">
        <v>8.0</v>
      </c>
      <c r="D41" s="14">
        <f t="shared" si="1"/>
        <v>8</v>
      </c>
      <c r="E41" s="15" t="s">
        <v>172</v>
      </c>
      <c r="F41" s="15" t="s">
        <v>45</v>
      </c>
    </row>
    <row r="42" ht="22.5" customHeight="1">
      <c r="A42" s="12" t="s">
        <v>121</v>
      </c>
      <c r="B42" s="14">
        <v>1.0</v>
      </c>
      <c r="C42" s="14">
        <v>5.0</v>
      </c>
      <c r="D42" s="14">
        <f t="shared" si="1"/>
        <v>5</v>
      </c>
      <c r="E42" s="15" t="s">
        <v>174</v>
      </c>
      <c r="F42" s="15" t="s">
        <v>48</v>
      </c>
    </row>
    <row r="43" ht="22.5" customHeight="1">
      <c r="A43" s="12" t="s">
        <v>123</v>
      </c>
      <c r="B43" s="14">
        <v>1.0</v>
      </c>
      <c r="C43" s="14">
        <v>5.0</v>
      </c>
      <c r="D43" s="14">
        <f t="shared" si="1"/>
        <v>5</v>
      </c>
      <c r="E43" s="15" t="s">
        <v>176</v>
      </c>
      <c r="F43" s="15" t="s">
        <v>51</v>
      </c>
    </row>
    <row r="44" ht="22.5" customHeight="1">
      <c r="A44" s="12" t="s">
        <v>125</v>
      </c>
      <c r="B44" s="14">
        <v>1.0</v>
      </c>
      <c r="C44" s="14">
        <v>5.0</v>
      </c>
      <c r="D44" s="14">
        <f t="shared" si="1"/>
        <v>5</v>
      </c>
      <c r="E44" s="15" t="s">
        <v>178</v>
      </c>
      <c r="F44" s="15" t="s">
        <v>54</v>
      </c>
    </row>
    <row r="45" ht="22.5" customHeight="1">
      <c r="A45" s="12" t="s">
        <v>127</v>
      </c>
      <c r="B45" s="14">
        <v>1.0</v>
      </c>
      <c r="C45" s="14">
        <v>4.0</v>
      </c>
      <c r="D45" s="14">
        <f t="shared" si="1"/>
        <v>4</v>
      </c>
      <c r="E45" s="15" t="s">
        <v>180</v>
      </c>
      <c r="F45" s="15" t="s">
        <v>57</v>
      </c>
    </row>
    <row r="46" ht="22.5" customHeight="1">
      <c r="A46" s="12" t="s">
        <v>129</v>
      </c>
      <c r="B46" s="14">
        <v>1.0</v>
      </c>
      <c r="C46" s="14">
        <v>4.0</v>
      </c>
      <c r="D46" s="14">
        <f t="shared" si="1"/>
        <v>4</v>
      </c>
      <c r="E46" s="15" t="s">
        <v>182</v>
      </c>
      <c r="F46" s="15" t="s">
        <v>60</v>
      </c>
    </row>
    <row r="47" ht="22.5" customHeight="1">
      <c r="A47" s="12" t="s">
        <v>131</v>
      </c>
      <c r="B47" s="14">
        <v>1.0</v>
      </c>
      <c r="C47" s="14">
        <v>4.0</v>
      </c>
      <c r="D47" s="14">
        <f t="shared" si="1"/>
        <v>4</v>
      </c>
      <c r="E47" s="15" t="s">
        <v>184</v>
      </c>
      <c r="F47" s="15" t="s">
        <v>63</v>
      </c>
    </row>
    <row r="48" ht="22.5" customHeight="1">
      <c r="A48" s="12" t="s">
        <v>133</v>
      </c>
      <c r="B48" s="14">
        <v>1.0</v>
      </c>
      <c r="C48" s="14">
        <v>4.0</v>
      </c>
      <c r="D48" s="14">
        <f t="shared" si="1"/>
        <v>4</v>
      </c>
      <c r="E48" s="15" t="s">
        <v>186</v>
      </c>
      <c r="F48" s="15" t="s">
        <v>66</v>
      </c>
    </row>
    <row r="49" ht="22.5" customHeight="1">
      <c r="A49" s="12" t="s">
        <v>135</v>
      </c>
      <c r="B49" s="14">
        <v>1.0</v>
      </c>
      <c r="C49" s="14">
        <v>4.0</v>
      </c>
      <c r="D49" s="14">
        <f t="shared" si="1"/>
        <v>4</v>
      </c>
      <c r="E49" s="15" t="s">
        <v>188</v>
      </c>
      <c r="F49" s="15" t="s">
        <v>69</v>
      </c>
    </row>
    <row r="50" ht="22.5" customHeight="1">
      <c r="A50" s="12" t="s">
        <v>137</v>
      </c>
      <c r="B50" s="14">
        <v>1.0</v>
      </c>
      <c r="C50" s="14">
        <v>4.0</v>
      </c>
      <c r="D50" s="14">
        <f t="shared" si="1"/>
        <v>4</v>
      </c>
      <c r="E50" s="15" t="s">
        <v>190</v>
      </c>
      <c r="F50" s="15" t="s">
        <v>72</v>
      </c>
    </row>
    <row r="51" ht="22.5" customHeight="1">
      <c r="A51" s="12" t="s">
        <v>139</v>
      </c>
      <c r="B51" s="14">
        <v>1.0</v>
      </c>
      <c r="C51" s="14">
        <v>2.0</v>
      </c>
      <c r="D51" s="14">
        <f t="shared" si="1"/>
        <v>2</v>
      </c>
      <c r="E51" s="15" t="s">
        <v>75</v>
      </c>
      <c r="F51" s="15" t="s">
        <v>8</v>
      </c>
    </row>
    <row r="52" ht="22.5" customHeight="1">
      <c r="A52" s="12" t="s">
        <v>141</v>
      </c>
      <c r="B52" s="14">
        <v>1.0</v>
      </c>
      <c r="C52" s="14">
        <v>2.0</v>
      </c>
      <c r="D52" s="14">
        <f t="shared" si="1"/>
        <v>2</v>
      </c>
      <c r="E52" s="15" t="s">
        <v>75</v>
      </c>
      <c r="F52" s="15" t="s">
        <v>13</v>
      </c>
    </row>
    <row r="53" ht="22.5" customHeight="1">
      <c r="A53" s="12" t="s">
        <v>143</v>
      </c>
      <c r="B53" s="14">
        <v>1.0</v>
      </c>
      <c r="C53" s="14">
        <v>2.0</v>
      </c>
      <c r="D53" s="14">
        <f t="shared" si="1"/>
        <v>2</v>
      </c>
      <c r="E53" s="15" t="s">
        <v>75</v>
      </c>
      <c r="F53" s="15" t="s">
        <v>18</v>
      </c>
    </row>
    <row r="54" ht="22.5" customHeight="1">
      <c r="A54" s="12" t="s">
        <v>145</v>
      </c>
      <c r="B54" s="14">
        <v>1.0</v>
      </c>
      <c r="C54" s="14">
        <v>2.0</v>
      </c>
      <c r="D54" s="14">
        <f t="shared" si="1"/>
        <v>2</v>
      </c>
      <c r="E54" s="15" t="s">
        <v>124</v>
      </c>
      <c r="F54" s="15" t="s">
        <v>23</v>
      </c>
    </row>
    <row r="55" ht="22.5" customHeight="1">
      <c r="A55" s="12" t="s">
        <v>147</v>
      </c>
      <c r="B55" s="14">
        <v>1.0</v>
      </c>
      <c r="C55" s="14">
        <v>2.0</v>
      </c>
      <c r="D55" s="14">
        <f t="shared" si="1"/>
        <v>2</v>
      </c>
      <c r="E55" s="15" t="s">
        <v>124</v>
      </c>
      <c r="F55" s="15" t="s">
        <v>28</v>
      </c>
    </row>
    <row r="56" ht="22.5" customHeight="1">
      <c r="A56" s="12" t="s">
        <v>149</v>
      </c>
      <c r="B56" s="14">
        <v>1.0</v>
      </c>
      <c r="C56" s="14">
        <v>2.0</v>
      </c>
      <c r="D56" s="14">
        <f t="shared" si="1"/>
        <v>2</v>
      </c>
      <c r="E56" s="15" t="s">
        <v>124</v>
      </c>
      <c r="F56" s="15" t="s">
        <v>33</v>
      </c>
    </row>
    <row r="57" ht="22.5" customHeight="1">
      <c r="A57" s="12" t="s">
        <v>151</v>
      </c>
      <c r="B57" s="14">
        <v>1.0</v>
      </c>
      <c r="C57" s="14">
        <v>2.0</v>
      </c>
      <c r="D57" s="14">
        <f t="shared" si="1"/>
        <v>2</v>
      </c>
      <c r="E57" s="15" t="s">
        <v>124</v>
      </c>
      <c r="F57" s="15" t="s">
        <v>37</v>
      </c>
    </row>
    <row r="58" ht="22.5" customHeight="1">
      <c r="A58" s="12" t="s">
        <v>153</v>
      </c>
      <c r="B58" s="14">
        <v>1.0</v>
      </c>
      <c r="C58" s="14">
        <v>2.0</v>
      </c>
      <c r="D58" s="14">
        <f t="shared" si="1"/>
        <v>2</v>
      </c>
      <c r="E58" s="15" t="s">
        <v>124</v>
      </c>
      <c r="F58" s="15" t="s">
        <v>41</v>
      </c>
    </row>
    <row r="59" ht="22.5" customHeight="1">
      <c r="A59" s="12" t="s">
        <v>155</v>
      </c>
      <c r="B59" s="14">
        <v>1.0</v>
      </c>
      <c r="C59" s="14">
        <v>2.0</v>
      </c>
      <c r="D59" s="14">
        <f t="shared" si="1"/>
        <v>2</v>
      </c>
      <c r="E59" s="15" t="s">
        <v>124</v>
      </c>
      <c r="F59" s="15" t="s">
        <v>45</v>
      </c>
    </row>
    <row r="60" ht="22.5" customHeight="1">
      <c r="A60" s="12" t="s">
        <v>157</v>
      </c>
      <c r="B60" s="14">
        <v>1.0</v>
      </c>
      <c r="C60" s="14">
        <v>3.0</v>
      </c>
      <c r="D60" s="14">
        <f t="shared" si="1"/>
        <v>3</v>
      </c>
      <c r="E60" s="15" t="s">
        <v>46</v>
      </c>
      <c r="F60" s="15" t="s">
        <v>48</v>
      </c>
    </row>
    <row r="61" ht="22.5" customHeight="1">
      <c r="A61" s="12" t="s">
        <v>159</v>
      </c>
      <c r="B61" s="14">
        <v>1.0</v>
      </c>
      <c r="C61" s="14">
        <v>3.0</v>
      </c>
      <c r="D61" s="14">
        <f t="shared" si="1"/>
        <v>3</v>
      </c>
      <c r="E61" s="15" t="s">
        <v>46</v>
      </c>
      <c r="F61" s="15" t="s">
        <v>51</v>
      </c>
    </row>
    <row r="62" ht="22.5" customHeight="1">
      <c r="A62" s="12" t="s">
        <v>161</v>
      </c>
      <c r="B62" s="14">
        <v>1.0</v>
      </c>
      <c r="C62" s="14">
        <v>3.0</v>
      </c>
      <c r="D62" s="14">
        <f t="shared" si="1"/>
        <v>3</v>
      </c>
      <c r="E62" s="15" t="s">
        <v>46</v>
      </c>
      <c r="F62" s="15" t="s">
        <v>54</v>
      </c>
    </row>
    <row r="63" ht="22.5" customHeight="1">
      <c r="A63" s="12" t="s">
        <v>163</v>
      </c>
      <c r="B63" s="14">
        <v>1.0</v>
      </c>
      <c r="C63" s="14">
        <v>2.0</v>
      </c>
      <c r="D63" s="14">
        <f t="shared" si="1"/>
        <v>2</v>
      </c>
      <c r="E63" s="15" t="s">
        <v>46</v>
      </c>
      <c r="F63" s="15" t="s">
        <v>57</v>
      </c>
    </row>
    <row r="64" ht="22.5" customHeight="1">
      <c r="A64" s="12" t="s">
        <v>165</v>
      </c>
      <c r="B64" s="14">
        <v>1.0</v>
      </c>
      <c r="C64" s="14">
        <v>3.0</v>
      </c>
      <c r="D64" s="14">
        <f t="shared" si="1"/>
        <v>3</v>
      </c>
      <c r="E64" s="15" t="s">
        <v>124</v>
      </c>
      <c r="F64" s="15" t="s">
        <v>60</v>
      </c>
    </row>
    <row r="65" ht="22.5" customHeight="1">
      <c r="A65" s="12" t="s">
        <v>167</v>
      </c>
      <c r="B65" s="14">
        <v>1.0</v>
      </c>
      <c r="C65" s="14">
        <v>2.0</v>
      </c>
      <c r="D65" s="14">
        <f t="shared" si="1"/>
        <v>2</v>
      </c>
      <c r="E65" s="15" t="s">
        <v>46</v>
      </c>
      <c r="F65" s="15" t="s">
        <v>63</v>
      </c>
    </row>
    <row r="66" ht="22.5" customHeight="1">
      <c r="A66" s="12" t="s">
        <v>169</v>
      </c>
      <c r="B66" s="14">
        <v>1.0</v>
      </c>
      <c r="C66" s="14">
        <v>2.0</v>
      </c>
      <c r="D66" s="14">
        <f t="shared" si="1"/>
        <v>2</v>
      </c>
      <c r="E66" s="15" t="s">
        <v>124</v>
      </c>
      <c r="F66" s="15" t="s">
        <v>69</v>
      </c>
    </row>
    <row r="67" ht="22.5" customHeight="1">
      <c r="A67" s="12" t="s">
        <v>171</v>
      </c>
      <c r="B67" s="14">
        <v>1.0</v>
      </c>
      <c r="C67" s="14">
        <v>2.0</v>
      </c>
      <c r="D67" s="14">
        <f t="shared" si="1"/>
        <v>2</v>
      </c>
      <c r="E67" s="15" t="s">
        <v>55</v>
      </c>
      <c r="F67" s="15" t="s">
        <v>8</v>
      </c>
    </row>
    <row r="68" ht="22.5" customHeight="1">
      <c r="A68" s="12" t="s">
        <v>173</v>
      </c>
      <c r="B68" s="14">
        <v>1.0</v>
      </c>
      <c r="C68" s="14">
        <v>2.0</v>
      </c>
      <c r="D68" s="14">
        <f t="shared" si="1"/>
        <v>2</v>
      </c>
      <c r="E68" s="15" t="s">
        <v>55</v>
      </c>
      <c r="F68" s="15" t="s">
        <v>13</v>
      </c>
    </row>
    <row r="69" ht="22.5" customHeight="1">
      <c r="A69" s="12" t="s">
        <v>175</v>
      </c>
      <c r="B69" s="14">
        <v>1.0</v>
      </c>
      <c r="C69" s="14">
        <v>2.0</v>
      </c>
      <c r="D69" s="14">
        <f t="shared" si="1"/>
        <v>2</v>
      </c>
      <c r="E69" s="15" t="s">
        <v>55</v>
      </c>
      <c r="F69" s="15" t="s">
        <v>18</v>
      </c>
    </row>
    <row r="70" ht="22.5" customHeight="1">
      <c r="A70" s="12" t="s">
        <v>177</v>
      </c>
      <c r="B70" s="14">
        <v>1.0</v>
      </c>
      <c r="C70" s="14">
        <v>2.0</v>
      </c>
      <c r="D70" s="14">
        <f t="shared" si="1"/>
        <v>2</v>
      </c>
      <c r="E70" s="15" t="s">
        <v>55</v>
      </c>
      <c r="F70" s="15" t="s">
        <v>23</v>
      </c>
    </row>
    <row r="71" ht="22.5" customHeight="1">
      <c r="A71" s="12" t="s">
        <v>179</v>
      </c>
      <c r="B71" s="14">
        <v>1.0</v>
      </c>
      <c r="C71" s="14">
        <v>2.0</v>
      </c>
      <c r="D71" s="14">
        <f t="shared" si="1"/>
        <v>2</v>
      </c>
      <c r="E71" s="15" t="s">
        <v>55</v>
      </c>
      <c r="F71" s="15" t="s">
        <v>28</v>
      </c>
    </row>
    <row r="72" ht="22.5" customHeight="1">
      <c r="A72" s="12" t="s">
        <v>181</v>
      </c>
      <c r="B72" s="14">
        <v>1.0</v>
      </c>
      <c r="C72" s="14">
        <v>2.0</v>
      </c>
      <c r="D72" s="14">
        <f t="shared" si="1"/>
        <v>2</v>
      </c>
      <c r="E72" s="15" t="s">
        <v>55</v>
      </c>
      <c r="F72" s="15" t="s">
        <v>33</v>
      </c>
    </row>
    <row r="73" ht="22.5" customHeight="1">
      <c r="A73" s="12" t="s">
        <v>183</v>
      </c>
      <c r="B73" s="14">
        <v>1.0</v>
      </c>
      <c r="C73" s="14">
        <v>2.0</v>
      </c>
      <c r="D73" s="14">
        <f t="shared" si="1"/>
        <v>2</v>
      </c>
      <c r="E73" s="15" t="s">
        <v>140</v>
      </c>
      <c r="F73" s="15" t="s">
        <v>37</v>
      </c>
    </row>
    <row r="74" ht="22.5" customHeight="1">
      <c r="A74" s="12" t="s">
        <v>185</v>
      </c>
      <c r="B74" s="14">
        <v>1.0</v>
      </c>
      <c r="C74" s="14">
        <v>2.0</v>
      </c>
      <c r="D74" s="14">
        <f t="shared" si="1"/>
        <v>2</v>
      </c>
      <c r="E74" s="15" t="s">
        <v>140</v>
      </c>
      <c r="F74" s="15" t="s">
        <v>41</v>
      </c>
    </row>
    <row r="75" ht="22.5" customHeight="1">
      <c r="A75" s="12" t="s">
        <v>187</v>
      </c>
      <c r="B75" s="14">
        <v>1.0</v>
      </c>
      <c r="C75" s="14">
        <v>2.0</v>
      </c>
      <c r="D75" s="14">
        <f t="shared" si="1"/>
        <v>2</v>
      </c>
      <c r="E75" s="15" t="s">
        <v>140</v>
      </c>
      <c r="F75" s="15" t="s">
        <v>45</v>
      </c>
    </row>
    <row r="76" ht="22.5" customHeight="1">
      <c r="A76" s="12" t="s">
        <v>189</v>
      </c>
      <c r="B76" s="14">
        <v>1.0</v>
      </c>
      <c r="C76" s="14">
        <v>2.0</v>
      </c>
      <c r="D76" s="14">
        <f t="shared" si="1"/>
        <v>2</v>
      </c>
      <c r="E76" s="15" t="s">
        <v>55</v>
      </c>
      <c r="F76" s="15" t="s">
        <v>48</v>
      </c>
    </row>
    <row r="77" ht="22.5" customHeight="1">
      <c r="A77" s="12" t="s">
        <v>191</v>
      </c>
      <c r="B77" s="14">
        <v>1.0</v>
      </c>
      <c r="C77" s="14">
        <v>2.0</v>
      </c>
      <c r="D77" s="14">
        <f t="shared" si="1"/>
        <v>2</v>
      </c>
      <c r="E77" s="15" t="s">
        <v>55</v>
      </c>
      <c r="F77" s="15" t="s">
        <v>51</v>
      </c>
    </row>
    <row r="78" ht="22.5" customHeight="1">
      <c r="A78" s="12" t="s">
        <v>192</v>
      </c>
      <c r="B78" s="14">
        <v>1.0</v>
      </c>
      <c r="C78" s="14">
        <v>2.0</v>
      </c>
      <c r="D78" s="14">
        <f t="shared" si="1"/>
        <v>2</v>
      </c>
      <c r="E78" s="15" t="s">
        <v>55</v>
      </c>
      <c r="F78" s="15" t="s">
        <v>54</v>
      </c>
    </row>
    <row r="79" ht="22.5" customHeight="1">
      <c r="A79" s="12" t="s">
        <v>193</v>
      </c>
      <c r="B79" s="14">
        <v>1.0</v>
      </c>
      <c r="C79" s="14">
        <v>2.0</v>
      </c>
      <c r="D79" s="14">
        <f t="shared" si="1"/>
        <v>2</v>
      </c>
      <c r="E79" s="15" t="s">
        <v>140</v>
      </c>
      <c r="F79" s="15" t="s">
        <v>57</v>
      </c>
    </row>
    <row r="80" ht="22.5" customHeight="1">
      <c r="A80" s="12" t="s">
        <v>194</v>
      </c>
      <c r="B80" s="14">
        <v>1.0</v>
      </c>
      <c r="C80" s="14">
        <v>2.0</v>
      </c>
      <c r="D80" s="14">
        <f t="shared" si="1"/>
        <v>2</v>
      </c>
      <c r="E80" s="15" t="s">
        <v>140</v>
      </c>
      <c r="F80" s="15" t="s">
        <v>60</v>
      </c>
    </row>
    <row r="81" ht="22.5" customHeight="1">
      <c r="A81" s="12" t="s">
        <v>195</v>
      </c>
      <c r="B81" s="14">
        <v>1.0</v>
      </c>
      <c r="C81" s="14">
        <v>2.0</v>
      </c>
      <c r="D81" s="14">
        <f t="shared" si="1"/>
        <v>2</v>
      </c>
      <c r="E81" s="15" t="s">
        <v>140</v>
      </c>
      <c r="F81" s="15" t="s">
        <v>63</v>
      </c>
    </row>
    <row r="82" ht="22.5" customHeight="1">
      <c r="A82" s="12" t="s">
        <v>196</v>
      </c>
      <c r="B82" s="14">
        <v>1.0</v>
      </c>
      <c r="C82" s="14">
        <v>2.0</v>
      </c>
      <c r="D82" s="14">
        <f t="shared" si="1"/>
        <v>2</v>
      </c>
      <c r="E82" s="15" t="s">
        <v>64</v>
      </c>
      <c r="F82" s="15" t="s">
        <v>66</v>
      </c>
    </row>
    <row r="83" ht="22.5" customHeight="1">
      <c r="A83" s="12" t="s">
        <v>197</v>
      </c>
      <c r="B83" s="14">
        <v>1.0</v>
      </c>
      <c r="C83" s="14">
        <v>2.0</v>
      </c>
      <c r="D83" s="14">
        <f t="shared" si="1"/>
        <v>2</v>
      </c>
      <c r="E83" s="15" t="s">
        <v>64</v>
      </c>
      <c r="F83" s="15" t="s">
        <v>69</v>
      </c>
    </row>
    <row r="84" ht="22.5" customHeight="1">
      <c r="A84" s="12" t="s">
        <v>198</v>
      </c>
      <c r="B84" s="14">
        <v>1.0</v>
      </c>
      <c r="C84" s="14">
        <v>2.0</v>
      </c>
      <c r="D84" s="14">
        <f t="shared" si="1"/>
        <v>2</v>
      </c>
      <c r="E84" s="15" t="s">
        <v>64</v>
      </c>
      <c r="F84" s="15" t="s">
        <v>72</v>
      </c>
    </row>
    <row r="85" ht="22.5" customHeight="1">
      <c r="A85" s="12" t="s">
        <v>199</v>
      </c>
      <c r="B85" s="14">
        <v>2.0</v>
      </c>
      <c r="C85" s="14">
        <v>2.0</v>
      </c>
      <c r="D85" s="14">
        <f t="shared" si="1"/>
        <v>4</v>
      </c>
      <c r="E85" s="15" t="s">
        <v>97</v>
      </c>
      <c r="F85" s="15" t="s">
        <v>8</v>
      </c>
    </row>
    <row r="86" ht="22.5" customHeight="1">
      <c r="A86" s="12" t="s">
        <v>200</v>
      </c>
      <c r="B86" s="14">
        <v>2.0</v>
      </c>
      <c r="C86" s="14">
        <v>2.0</v>
      </c>
      <c r="D86" s="14">
        <f t="shared" si="1"/>
        <v>4</v>
      </c>
      <c r="E86" s="15" t="s">
        <v>97</v>
      </c>
      <c r="F86" s="15" t="s">
        <v>13</v>
      </c>
    </row>
    <row r="87" ht="22.5" customHeight="1">
      <c r="A87" s="12" t="s">
        <v>201</v>
      </c>
      <c r="B87" s="14">
        <v>2.0</v>
      </c>
      <c r="C87" s="14">
        <v>2.0</v>
      </c>
      <c r="D87" s="14">
        <f t="shared" si="1"/>
        <v>4</v>
      </c>
      <c r="E87" s="15" t="s">
        <v>97</v>
      </c>
      <c r="F87" s="15" t="s">
        <v>18</v>
      </c>
    </row>
    <row r="88" ht="22.5" customHeight="1">
      <c r="A88" s="12" t="s">
        <v>202</v>
      </c>
      <c r="B88" s="14">
        <v>2.0</v>
      </c>
      <c r="C88" s="14">
        <v>2.0</v>
      </c>
      <c r="D88" s="14">
        <f t="shared" si="1"/>
        <v>4</v>
      </c>
      <c r="E88" s="15" t="s">
        <v>97</v>
      </c>
      <c r="F88" s="15" t="s">
        <v>23</v>
      </c>
    </row>
    <row r="89" ht="22.5" customHeight="1">
      <c r="A89" s="12" t="s">
        <v>203</v>
      </c>
      <c r="B89" s="14">
        <v>2.0</v>
      </c>
      <c r="C89" s="14">
        <v>2.0</v>
      </c>
      <c r="D89" s="14">
        <f t="shared" si="1"/>
        <v>4</v>
      </c>
      <c r="E89" s="15" t="s">
        <v>97</v>
      </c>
      <c r="F89" s="15" t="s">
        <v>28</v>
      </c>
    </row>
    <row r="90" ht="22.5" customHeight="1">
      <c r="A90" s="12" t="s">
        <v>204</v>
      </c>
      <c r="B90" s="14">
        <v>2.0</v>
      </c>
      <c r="C90" s="14">
        <v>2.0</v>
      </c>
      <c r="D90" s="14">
        <f t="shared" si="1"/>
        <v>4</v>
      </c>
      <c r="E90" s="15" t="s">
        <v>97</v>
      </c>
      <c r="F90" s="15" t="s">
        <v>33</v>
      </c>
    </row>
    <row r="91" ht="22.5" customHeight="1">
      <c r="A91" s="12" t="s">
        <v>205</v>
      </c>
      <c r="B91" s="14">
        <v>2.0</v>
      </c>
      <c r="C91" s="14">
        <v>2.0</v>
      </c>
      <c r="D91" s="14">
        <f t="shared" si="1"/>
        <v>4</v>
      </c>
      <c r="E91" s="15" t="s">
        <v>100</v>
      </c>
      <c r="F91" s="15" t="s">
        <v>37</v>
      </c>
    </row>
    <row r="92" ht="22.5" customHeight="1">
      <c r="A92" s="12" t="s">
        <v>206</v>
      </c>
      <c r="B92" s="14">
        <v>2.0</v>
      </c>
      <c r="C92" s="14">
        <v>2.0</v>
      </c>
      <c r="D92" s="14">
        <f t="shared" si="1"/>
        <v>4</v>
      </c>
      <c r="E92" s="15" t="s">
        <v>100</v>
      </c>
      <c r="F92" s="15" t="s">
        <v>41</v>
      </c>
    </row>
    <row r="93" ht="22.5" customHeight="1">
      <c r="A93" s="12" t="s">
        <v>207</v>
      </c>
      <c r="B93" s="14">
        <v>2.0</v>
      </c>
      <c r="C93" s="14">
        <v>2.0</v>
      </c>
      <c r="D93" s="14">
        <f t="shared" si="1"/>
        <v>4</v>
      </c>
      <c r="E93" s="15" t="s">
        <v>100</v>
      </c>
      <c r="F93" s="15" t="s">
        <v>45</v>
      </c>
    </row>
    <row r="94" ht="22.5" customHeight="1">
      <c r="A94" s="12" t="s">
        <v>208</v>
      </c>
      <c r="B94" s="14">
        <v>1.0</v>
      </c>
      <c r="C94" s="14">
        <v>3.0</v>
      </c>
      <c r="D94" s="14">
        <f t="shared" si="1"/>
        <v>3</v>
      </c>
      <c r="E94" s="15" t="s">
        <v>116</v>
      </c>
      <c r="F94" s="15" t="s">
        <v>48</v>
      </c>
    </row>
    <row r="95" ht="22.5" customHeight="1">
      <c r="A95" s="12" t="s">
        <v>209</v>
      </c>
      <c r="B95" s="14">
        <v>1.0</v>
      </c>
      <c r="C95" s="14">
        <v>3.0</v>
      </c>
      <c r="D95" s="14">
        <f t="shared" si="1"/>
        <v>3</v>
      </c>
      <c r="E95" s="15" t="s">
        <v>116</v>
      </c>
      <c r="F95" s="15" t="s">
        <v>51</v>
      </c>
    </row>
    <row r="96" ht="22.5" customHeight="1">
      <c r="A96" s="12" t="s">
        <v>210</v>
      </c>
      <c r="B96" s="14">
        <v>1.0</v>
      </c>
      <c r="C96" s="14">
        <v>3.0</v>
      </c>
      <c r="D96" s="14">
        <f t="shared" si="1"/>
        <v>3</v>
      </c>
      <c r="E96" s="15" t="s">
        <v>116</v>
      </c>
      <c r="F96" s="15" t="s">
        <v>54</v>
      </c>
    </row>
    <row r="97" ht="22.5" customHeight="1">
      <c r="A97" s="12" t="s">
        <v>211</v>
      </c>
      <c r="B97" s="14">
        <v>1.0</v>
      </c>
      <c r="C97" s="14">
        <v>2.0</v>
      </c>
      <c r="D97" s="14">
        <f t="shared" si="1"/>
        <v>2</v>
      </c>
      <c r="E97" s="15" t="s">
        <v>100</v>
      </c>
      <c r="F97" s="15" t="s">
        <v>57</v>
      </c>
    </row>
    <row r="98" ht="22.5" customHeight="1">
      <c r="A98" s="12" t="s">
        <v>212</v>
      </c>
      <c r="B98" s="14">
        <v>1.0</v>
      </c>
      <c r="C98" s="14">
        <v>3.0</v>
      </c>
      <c r="D98" s="14">
        <f t="shared" si="1"/>
        <v>3</v>
      </c>
      <c r="E98" s="15" t="s">
        <v>116</v>
      </c>
      <c r="F98" s="15" t="s">
        <v>60</v>
      </c>
    </row>
    <row r="99" ht="22.5" customHeight="1">
      <c r="A99" s="12" t="s">
        <v>213</v>
      </c>
      <c r="B99" s="14">
        <v>1.0</v>
      </c>
      <c r="C99" s="14">
        <v>2.0</v>
      </c>
      <c r="D99" s="14">
        <f t="shared" si="1"/>
        <v>2</v>
      </c>
      <c r="E99" s="15" t="s">
        <v>100</v>
      </c>
      <c r="F99" s="15" t="s">
        <v>63</v>
      </c>
    </row>
    <row r="100" ht="22.5" customHeight="1">
      <c r="A100" s="12" t="s">
        <v>214</v>
      </c>
      <c r="B100" s="14">
        <v>1.0</v>
      </c>
      <c r="C100" s="14">
        <v>3.0</v>
      </c>
      <c r="D100" s="14">
        <f t="shared" si="1"/>
        <v>3</v>
      </c>
      <c r="E100" s="15" t="s">
        <v>88</v>
      </c>
      <c r="F100" s="15" t="s">
        <v>66</v>
      </c>
    </row>
    <row r="101" ht="22.5" customHeight="1">
      <c r="A101" s="12" t="s">
        <v>215</v>
      </c>
      <c r="B101" s="14">
        <v>2.0</v>
      </c>
      <c r="C101" s="14">
        <v>2.0</v>
      </c>
      <c r="D101" s="14">
        <f t="shared" si="1"/>
        <v>4</v>
      </c>
      <c r="E101" s="15" t="s">
        <v>88</v>
      </c>
      <c r="F101" s="15" t="s">
        <v>69</v>
      </c>
    </row>
    <row r="102" ht="22.5" customHeight="1">
      <c r="A102" s="12" t="s">
        <v>216</v>
      </c>
      <c r="B102" s="14">
        <v>1.0</v>
      </c>
      <c r="C102" s="14">
        <v>3.0</v>
      </c>
      <c r="D102" s="14">
        <f t="shared" si="1"/>
        <v>3</v>
      </c>
      <c r="E102" s="15" t="s">
        <v>88</v>
      </c>
      <c r="F102" s="15" t="s">
        <v>72</v>
      </c>
    </row>
    <row r="103" ht="22.5" customHeight="1">
      <c r="A103" s="12" t="s">
        <v>217</v>
      </c>
      <c r="B103" s="14">
        <v>1.0</v>
      </c>
      <c r="C103" s="14">
        <v>2.0</v>
      </c>
      <c r="D103" s="14">
        <f t="shared" si="1"/>
        <v>2</v>
      </c>
      <c r="E103" s="15" t="s">
        <v>128</v>
      </c>
      <c r="F103" s="15" t="s">
        <v>8</v>
      </c>
    </row>
    <row r="104" ht="22.5" customHeight="1">
      <c r="A104" s="12" t="s">
        <v>218</v>
      </c>
      <c r="B104" s="14">
        <v>1.0</v>
      </c>
      <c r="C104" s="14">
        <v>2.0</v>
      </c>
      <c r="D104" s="14">
        <f t="shared" si="1"/>
        <v>2</v>
      </c>
      <c r="E104" s="15" t="s">
        <v>82</v>
      </c>
      <c r="F104" s="15" t="s">
        <v>13</v>
      </c>
    </row>
    <row r="105" ht="22.5" customHeight="1">
      <c r="A105" s="12" t="s">
        <v>219</v>
      </c>
      <c r="B105" s="14">
        <v>1.0</v>
      </c>
      <c r="C105" s="14">
        <v>2.0</v>
      </c>
      <c r="D105" s="14">
        <f t="shared" si="1"/>
        <v>2</v>
      </c>
      <c r="E105" s="15" t="s">
        <v>128</v>
      </c>
      <c r="F105" s="15" t="s">
        <v>18</v>
      </c>
    </row>
    <row r="106" ht="22.5" customHeight="1">
      <c r="A106" s="12" t="s">
        <v>220</v>
      </c>
      <c r="B106" s="14">
        <v>1.0</v>
      </c>
      <c r="C106" s="14">
        <v>2.0</v>
      </c>
      <c r="D106" s="14">
        <f t="shared" si="1"/>
        <v>2</v>
      </c>
      <c r="E106" s="15" t="s">
        <v>128</v>
      </c>
      <c r="F106" s="15" t="s">
        <v>23</v>
      </c>
    </row>
    <row r="107" ht="22.5" customHeight="1">
      <c r="A107" s="12" t="s">
        <v>221</v>
      </c>
      <c r="B107" s="14">
        <v>1.0</v>
      </c>
      <c r="C107" s="14">
        <v>2.0</v>
      </c>
      <c r="D107" s="14">
        <f t="shared" si="1"/>
        <v>2</v>
      </c>
      <c r="E107" s="15" t="s">
        <v>82</v>
      </c>
      <c r="F107" s="15" t="s">
        <v>28</v>
      </c>
    </row>
    <row r="108" ht="22.5" customHeight="1">
      <c r="A108" s="12" t="s">
        <v>222</v>
      </c>
      <c r="B108" s="14">
        <v>1.0</v>
      </c>
      <c r="C108" s="14">
        <v>2.0</v>
      </c>
      <c r="D108" s="14">
        <f t="shared" si="1"/>
        <v>2</v>
      </c>
      <c r="E108" s="15" t="s">
        <v>110</v>
      </c>
      <c r="F108" s="15" t="s">
        <v>33</v>
      </c>
    </row>
    <row r="109" ht="22.5" customHeight="1">
      <c r="A109" s="12" t="s">
        <v>223</v>
      </c>
      <c r="B109" s="14">
        <v>1.0</v>
      </c>
      <c r="C109" s="14">
        <v>2.0</v>
      </c>
      <c r="D109" s="14">
        <f t="shared" si="1"/>
        <v>2</v>
      </c>
      <c r="E109" s="15" t="s">
        <v>29</v>
      </c>
      <c r="F109" s="15" t="s">
        <v>8</v>
      </c>
    </row>
    <row r="110" ht="22.5" customHeight="1">
      <c r="A110" s="12" t="s">
        <v>224</v>
      </c>
      <c r="B110" s="14">
        <v>1.0</v>
      </c>
      <c r="C110" s="14">
        <v>2.0</v>
      </c>
      <c r="D110" s="14">
        <f t="shared" si="1"/>
        <v>2</v>
      </c>
      <c r="E110" s="15" t="s">
        <v>34</v>
      </c>
      <c r="F110" s="15" t="s">
        <v>13</v>
      </c>
    </row>
    <row r="111" ht="22.5" customHeight="1">
      <c r="A111" s="12" t="s">
        <v>225</v>
      </c>
      <c r="B111" s="14">
        <v>1.0</v>
      </c>
      <c r="C111" s="14">
        <v>2.0</v>
      </c>
      <c r="D111" s="14">
        <f t="shared" si="1"/>
        <v>2</v>
      </c>
      <c r="E111" s="15" t="s">
        <v>29</v>
      </c>
      <c r="F111" s="15" t="s">
        <v>18</v>
      </c>
    </row>
    <row r="112" ht="22.5" customHeight="1">
      <c r="A112" s="12" t="s">
        <v>226</v>
      </c>
      <c r="B112" s="14">
        <v>1.0</v>
      </c>
      <c r="C112" s="14">
        <v>2.0</v>
      </c>
      <c r="D112" s="14">
        <f t="shared" si="1"/>
        <v>2</v>
      </c>
      <c r="E112" s="15" t="s">
        <v>29</v>
      </c>
      <c r="F112" s="15" t="s">
        <v>23</v>
      </c>
    </row>
    <row r="113" ht="22.5" customHeight="1">
      <c r="A113" s="12" t="s">
        <v>227</v>
      </c>
      <c r="B113" s="14">
        <v>1.0</v>
      </c>
      <c r="C113" s="14">
        <v>2.0</v>
      </c>
      <c r="D113" s="14">
        <f t="shared" si="1"/>
        <v>2</v>
      </c>
      <c r="E113" s="15" t="s">
        <v>29</v>
      </c>
      <c r="F113" s="15" t="s">
        <v>28</v>
      </c>
    </row>
    <row r="114" ht="22.5" customHeight="1">
      <c r="A114" s="12" t="s">
        <v>229</v>
      </c>
      <c r="B114" s="14">
        <v>1.0</v>
      </c>
      <c r="C114" s="14">
        <v>2.0</v>
      </c>
      <c r="D114" s="14">
        <f t="shared" si="1"/>
        <v>2</v>
      </c>
      <c r="E114" s="15" t="s">
        <v>34</v>
      </c>
      <c r="F114" s="15" t="s">
        <v>33</v>
      </c>
    </row>
    <row r="115" ht="22.5" customHeight="1">
      <c r="A115" s="12" t="s">
        <v>230</v>
      </c>
      <c r="B115" s="14">
        <v>1.0</v>
      </c>
      <c r="C115" s="14">
        <v>2.0</v>
      </c>
      <c r="D115" s="14">
        <f t="shared" si="1"/>
        <v>2</v>
      </c>
      <c r="E115" s="15" t="s">
        <v>19</v>
      </c>
      <c r="F115" s="15" t="s">
        <v>37</v>
      </c>
    </row>
    <row r="116" ht="22.5" customHeight="1">
      <c r="A116" s="12" t="s">
        <v>231</v>
      </c>
      <c r="B116" s="14">
        <v>1.0</v>
      </c>
      <c r="C116" s="14">
        <v>2.0</v>
      </c>
      <c r="D116" s="14">
        <f t="shared" si="1"/>
        <v>2</v>
      </c>
      <c r="E116" s="15" t="s">
        <v>19</v>
      </c>
      <c r="F116" s="15" t="s">
        <v>41</v>
      </c>
    </row>
    <row r="117" ht="22.5" customHeight="1">
      <c r="A117" s="12" t="s">
        <v>232</v>
      </c>
      <c r="B117" s="14">
        <v>1.0</v>
      </c>
      <c r="C117" s="14">
        <v>2.0</v>
      </c>
      <c r="D117" s="14">
        <f t="shared" si="1"/>
        <v>2</v>
      </c>
      <c r="E117" s="15" t="s">
        <v>19</v>
      </c>
      <c r="F117" s="15" t="s">
        <v>45</v>
      </c>
    </row>
    <row r="118" ht="22.5" customHeight="1">
      <c r="A118" s="12" t="s">
        <v>233</v>
      </c>
      <c r="B118" s="14">
        <v>1.0</v>
      </c>
      <c r="C118" s="14">
        <v>2.0</v>
      </c>
      <c r="D118" s="14">
        <f t="shared" si="1"/>
        <v>2</v>
      </c>
      <c r="E118" s="15" t="s">
        <v>34</v>
      </c>
      <c r="F118" s="15" t="s">
        <v>48</v>
      </c>
    </row>
    <row r="119" ht="22.5" customHeight="1">
      <c r="A119" s="12" t="s">
        <v>234</v>
      </c>
      <c r="B119" s="14">
        <v>1.0</v>
      </c>
      <c r="C119" s="14">
        <v>2.0</v>
      </c>
      <c r="D119" s="14">
        <f t="shared" si="1"/>
        <v>2</v>
      </c>
      <c r="E119" s="15" t="s">
        <v>19</v>
      </c>
      <c r="F119" s="15" t="s">
        <v>51</v>
      </c>
    </row>
    <row r="120" ht="22.5" customHeight="1">
      <c r="A120" s="12" t="s">
        <v>235</v>
      </c>
      <c r="B120" s="14">
        <v>1.0</v>
      </c>
      <c r="C120" s="14">
        <v>2.0</v>
      </c>
      <c r="D120" s="14">
        <f t="shared" si="1"/>
        <v>2</v>
      </c>
      <c r="E120" s="15" t="s">
        <v>19</v>
      </c>
      <c r="F120" s="15" t="s">
        <v>54</v>
      </c>
    </row>
    <row r="121" ht="22.5" customHeight="1">
      <c r="A121" s="12" t="s">
        <v>236</v>
      </c>
      <c r="B121" s="14">
        <v>1.0</v>
      </c>
      <c r="C121" s="14">
        <v>2.0</v>
      </c>
      <c r="D121" s="14">
        <f t="shared" si="1"/>
        <v>2</v>
      </c>
      <c r="E121" s="15" t="s">
        <v>75</v>
      </c>
      <c r="F121" s="15" t="s">
        <v>8</v>
      </c>
    </row>
    <row r="122" ht="22.5" customHeight="1">
      <c r="A122" s="12" t="s">
        <v>237</v>
      </c>
      <c r="B122" s="14">
        <v>1.0</v>
      </c>
      <c r="C122" s="14">
        <v>2.0</v>
      </c>
      <c r="D122" s="14">
        <f t="shared" si="1"/>
        <v>2</v>
      </c>
      <c r="E122" s="15" t="s">
        <v>75</v>
      </c>
      <c r="F122" s="15" t="s">
        <v>13</v>
      </c>
    </row>
    <row r="123" ht="22.5" customHeight="1">
      <c r="A123" s="12" t="s">
        <v>238</v>
      </c>
      <c r="B123" s="14">
        <v>1.0</v>
      </c>
      <c r="C123" s="14">
        <v>2.0</v>
      </c>
      <c r="D123" s="14">
        <f t="shared" si="1"/>
        <v>2</v>
      </c>
      <c r="E123" s="15" t="s">
        <v>75</v>
      </c>
      <c r="F123" s="15" t="s">
        <v>18</v>
      </c>
    </row>
    <row r="124" ht="22.5" customHeight="1">
      <c r="A124" s="12" t="s">
        <v>239</v>
      </c>
      <c r="B124" s="14">
        <v>1.0</v>
      </c>
      <c r="C124" s="14">
        <v>2.0</v>
      </c>
      <c r="D124" s="14">
        <f t="shared" si="1"/>
        <v>2</v>
      </c>
      <c r="E124" s="15" t="s">
        <v>114</v>
      </c>
      <c r="F124" s="15" t="s">
        <v>23</v>
      </c>
    </row>
    <row r="125" ht="22.5" customHeight="1">
      <c r="A125" s="12" t="s">
        <v>240</v>
      </c>
      <c r="B125" s="14">
        <v>1.0</v>
      </c>
      <c r="C125" s="14">
        <v>2.0</v>
      </c>
      <c r="D125" s="14">
        <f t="shared" si="1"/>
        <v>2</v>
      </c>
      <c r="E125" s="15" t="s">
        <v>80</v>
      </c>
      <c r="F125" s="15" t="s">
        <v>28</v>
      </c>
    </row>
    <row r="126" ht="22.5" customHeight="1">
      <c r="A126" s="12" t="s">
        <v>241</v>
      </c>
      <c r="B126" s="14">
        <v>1.0</v>
      </c>
      <c r="C126" s="14">
        <v>2.0</v>
      </c>
      <c r="D126" s="14">
        <f t="shared" si="1"/>
        <v>2</v>
      </c>
      <c r="E126" s="15" t="s">
        <v>75</v>
      </c>
      <c r="F126" s="15" t="s">
        <v>33</v>
      </c>
    </row>
    <row r="127" ht="22.5" customHeight="1">
      <c r="A127" s="12" t="s">
        <v>242</v>
      </c>
      <c r="B127" s="14">
        <v>1.0</v>
      </c>
      <c r="C127" s="14">
        <v>2.0</v>
      </c>
      <c r="D127" s="14">
        <f t="shared" si="1"/>
        <v>2</v>
      </c>
      <c r="E127" s="15" t="s">
        <v>75</v>
      </c>
      <c r="F127" s="15" t="s">
        <v>37</v>
      </c>
    </row>
    <row r="128" ht="22.5" customHeight="1">
      <c r="A128" s="12" t="s">
        <v>243</v>
      </c>
      <c r="B128" s="14">
        <v>1.0</v>
      </c>
      <c r="C128" s="14">
        <v>2.0</v>
      </c>
      <c r="D128" s="14">
        <f t="shared" si="1"/>
        <v>2</v>
      </c>
      <c r="E128" s="15" t="s">
        <v>114</v>
      </c>
      <c r="F128" s="15" t="s">
        <v>41</v>
      </c>
    </row>
    <row r="129" ht="22.5" customHeight="1">
      <c r="A129" s="12" t="s">
        <v>244</v>
      </c>
      <c r="B129" s="14">
        <v>1.0</v>
      </c>
      <c r="C129" s="14">
        <v>2.0</v>
      </c>
      <c r="D129" s="14">
        <f t="shared" si="1"/>
        <v>2</v>
      </c>
      <c r="E129" s="15" t="s">
        <v>114</v>
      </c>
      <c r="F129" s="15" t="s">
        <v>45</v>
      </c>
    </row>
    <row r="130" ht="22.5" customHeight="1">
      <c r="A130" s="12" t="s">
        <v>246</v>
      </c>
      <c r="B130" s="14">
        <v>1.0</v>
      </c>
      <c r="C130" s="14">
        <v>3.0</v>
      </c>
      <c r="D130" s="14">
        <f t="shared" si="1"/>
        <v>3</v>
      </c>
      <c r="E130" s="15" t="s">
        <v>75</v>
      </c>
      <c r="F130" s="15" t="s">
        <v>48</v>
      </c>
    </row>
    <row r="131" ht="22.5" customHeight="1">
      <c r="A131" s="12" t="s">
        <v>247</v>
      </c>
      <c r="B131" s="14">
        <v>1.0</v>
      </c>
      <c r="C131" s="14">
        <v>3.0</v>
      </c>
      <c r="D131" s="14">
        <f t="shared" si="1"/>
        <v>3</v>
      </c>
      <c r="E131" s="15" t="s">
        <v>75</v>
      </c>
      <c r="F131" s="15" t="s">
        <v>51</v>
      </c>
    </row>
    <row r="132" ht="22.5" customHeight="1">
      <c r="A132" s="12" t="s">
        <v>248</v>
      </c>
      <c r="B132" s="14">
        <v>1.0</v>
      </c>
      <c r="C132" s="14">
        <v>3.0</v>
      </c>
      <c r="D132" s="14">
        <f t="shared" si="1"/>
        <v>3</v>
      </c>
      <c r="E132" s="15" t="s">
        <v>75</v>
      </c>
      <c r="F132" s="15" t="s">
        <v>54</v>
      </c>
    </row>
    <row r="133" ht="22.5" customHeight="1">
      <c r="A133" s="12" t="s">
        <v>249</v>
      </c>
      <c r="B133" s="14">
        <v>1.0</v>
      </c>
      <c r="C133" s="14">
        <v>2.0</v>
      </c>
      <c r="D133" s="14">
        <f t="shared" si="1"/>
        <v>2</v>
      </c>
      <c r="E133" s="15" t="s">
        <v>114</v>
      </c>
      <c r="F133" s="15" t="s">
        <v>57</v>
      </c>
    </row>
    <row r="134" ht="22.5" customHeight="1">
      <c r="A134" s="12" t="s">
        <v>250</v>
      </c>
      <c r="B134" s="14">
        <v>1.0</v>
      </c>
      <c r="C134" s="14">
        <v>3.0</v>
      </c>
      <c r="D134" s="14">
        <f t="shared" si="1"/>
        <v>3</v>
      </c>
      <c r="E134" s="15" t="s">
        <v>114</v>
      </c>
      <c r="F134" s="15" t="s">
        <v>60</v>
      </c>
    </row>
    <row r="135" ht="22.5" customHeight="1">
      <c r="A135" s="12" t="s">
        <v>252</v>
      </c>
      <c r="B135" s="14">
        <v>1.0</v>
      </c>
      <c r="C135" s="14">
        <v>2.0</v>
      </c>
      <c r="D135" s="14">
        <f t="shared" si="1"/>
        <v>2</v>
      </c>
      <c r="E135" s="15" t="s">
        <v>114</v>
      </c>
      <c r="F135" s="15" t="s">
        <v>63</v>
      </c>
    </row>
    <row r="136" ht="22.5" customHeight="1">
      <c r="A136" s="12" t="s">
        <v>253</v>
      </c>
      <c r="B136" s="14">
        <v>1.0</v>
      </c>
      <c r="C136" s="14">
        <v>2.0</v>
      </c>
      <c r="D136" s="14">
        <f t="shared" si="1"/>
        <v>2</v>
      </c>
      <c r="E136" s="15" t="s">
        <v>114</v>
      </c>
      <c r="F136" s="15" t="s">
        <v>69</v>
      </c>
    </row>
    <row r="137" ht="22.5" customHeight="1">
      <c r="A137" s="12" t="s">
        <v>254</v>
      </c>
      <c r="B137" s="14">
        <v>1.0</v>
      </c>
      <c r="C137" s="14">
        <v>1.0</v>
      </c>
      <c r="D137" s="14">
        <f t="shared" si="1"/>
        <v>1</v>
      </c>
      <c r="E137" s="15" t="s">
        <v>118</v>
      </c>
      <c r="F137" s="15" t="s">
        <v>8</v>
      </c>
    </row>
    <row r="138" ht="22.5" customHeight="1">
      <c r="A138" s="12" t="s">
        <v>256</v>
      </c>
      <c r="B138" s="14">
        <v>1.0</v>
      </c>
      <c r="C138" s="14">
        <v>1.0</v>
      </c>
      <c r="D138" s="14">
        <f t="shared" si="1"/>
        <v>1</v>
      </c>
      <c r="E138" s="15" t="s">
        <v>118</v>
      </c>
      <c r="F138" s="15" t="s">
        <v>13</v>
      </c>
    </row>
    <row r="139" ht="22.5" customHeight="1">
      <c r="A139" s="12" t="s">
        <v>257</v>
      </c>
      <c r="B139" s="14">
        <v>1.0</v>
      </c>
      <c r="C139" s="14">
        <v>1.0</v>
      </c>
      <c r="D139" s="14">
        <f t="shared" si="1"/>
        <v>1</v>
      </c>
      <c r="E139" s="15" t="s">
        <v>118</v>
      </c>
      <c r="F139" s="15" t="s">
        <v>18</v>
      </c>
    </row>
    <row r="140" ht="22.5" customHeight="1">
      <c r="A140" s="12" t="s">
        <v>258</v>
      </c>
      <c r="B140" s="14">
        <v>1.0</v>
      </c>
      <c r="C140" s="14">
        <v>1.0</v>
      </c>
      <c r="D140" s="14">
        <f t="shared" si="1"/>
        <v>1</v>
      </c>
      <c r="E140" s="15" t="s">
        <v>130</v>
      </c>
      <c r="F140" s="15" t="s">
        <v>37</v>
      </c>
    </row>
    <row r="141" ht="22.5" customHeight="1">
      <c r="A141" s="12" t="s">
        <v>259</v>
      </c>
      <c r="B141" s="14">
        <v>1.0</v>
      </c>
      <c r="C141" s="14">
        <v>1.0</v>
      </c>
      <c r="D141" s="14">
        <f t="shared" si="1"/>
        <v>1</v>
      </c>
      <c r="E141" s="15" t="s">
        <v>130</v>
      </c>
      <c r="F141" s="15" t="s">
        <v>41</v>
      </c>
    </row>
    <row r="142" ht="22.5" customHeight="1">
      <c r="A142" s="12" t="s">
        <v>262</v>
      </c>
      <c r="B142" s="14">
        <v>1.0</v>
      </c>
      <c r="C142" s="14">
        <v>1.0</v>
      </c>
      <c r="D142" s="14">
        <f t="shared" si="1"/>
        <v>1</v>
      </c>
      <c r="E142" s="15" t="s">
        <v>130</v>
      </c>
      <c r="F142" s="15" t="s">
        <v>45</v>
      </c>
    </row>
    <row r="143" ht="22.5" customHeight="1">
      <c r="A143" s="12" t="s">
        <v>263</v>
      </c>
      <c r="B143" s="14">
        <v>1.0</v>
      </c>
      <c r="C143" s="14">
        <v>1.0</v>
      </c>
      <c r="D143" s="14">
        <f t="shared" si="1"/>
        <v>1</v>
      </c>
      <c r="E143" s="15" t="s">
        <v>138</v>
      </c>
      <c r="F143" s="15" t="s">
        <v>48</v>
      </c>
    </row>
    <row r="144" ht="22.5" customHeight="1">
      <c r="A144" s="12" t="s">
        <v>264</v>
      </c>
      <c r="B144" s="14">
        <v>1.0</v>
      </c>
      <c r="C144" s="14">
        <v>1.0</v>
      </c>
      <c r="D144" s="14">
        <f t="shared" si="1"/>
        <v>1</v>
      </c>
      <c r="E144" s="15" t="s">
        <v>138</v>
      </c>
      <c r="F144" s="15" t="s">
        <v>51</v>
      </c>
    </row>
    <row r="145" ht="22.5" customHeight="1">
      <c r="A145" s="12" t="s">
        <v>265</v>
      </c>
      <c r="B145" s="14">
        <v>1.0</v>
      </c>
      <c r="C145" s="14">
        <v>1.0</v>
      </c>
      <c r="D145" s="14">
        <f t="shared" si="1"/>
        <v>1</v>
      </c>
      <c r="E145" s="15" t="s">
        <v>138</v>
      </c>
      <c r="F145" s="15" t="s">
        <v>54</v>
      </c>
    </row>
    <row r="146" ht="22.5" customHeight="1">
      <c r="A146" s="12" t="s">
        <v>266</v>
      </c>
      <c r="B146" s="14">
        <v>1.0</v>
      </c>
      <c r="C146" s="14">
        <v>1.0</v>
      </c>
      <c r="D146" s="14">
        <f t="shared" si="1"/>
        <v>1</v>
      </c>
      <c r="E146" s="15" t="s">
        <v>49</v>
      </c>
      <c r="F146" s="15" t="s">
        <v>57</v>
      </c>
    </row>
    <row r="147" ht="22.5" customHeight="1">
      <c r="A147" s="12" t="s">
        <v>267</v>
      </c>
      <c r="B147" s="14">
        <v>1.0</v>
      </c>
      <c r="C147" s="14">
        <v>1.0</v>
      </c>
      <c r="D147" s="14">
        <f t="shared" si="1"/>
        <v>1</v>
      </c>
      <c r="E147" s="15" t="s">
        <v>49</v>
      </c>
      <c r="F147" s="15" t="s">
        <v>60</v>
      </c>
    </row>
    <row r="148" ht="22.5" customHeight="1">
      <c r="A148" s="12" t="s">
        <v>268</v>
      </c>
      <c r="B148" s="14">
        <v>1.0</v>
      </c>
      <c r="C148" s="14">
        <v>1.0</v>
      </c>
      <c r="D148" s="14">
        <f t="shared" si="1"/>
        <v>1</v>
      </c>
      <c r="E148" s="15" t="s">
        <v>49</v>
      </c>
      <c r="F148" s="15" t="s">
        <v>63</v>
      </c>
    </row>
    <row r="149" ht="22.5" customHeight="1">
      <c r="A149" s="12" t="s">
        <v>269</v>
      </c>
      <c r="B149" s="14">
        <v>1.0</v>
      </c>
      <c r="C149" s="14">
        <v>1.0</v>
      </c>
      <c r="D149" s="14">
        <f t="shared" si="1"/>
        <v>1</v>
      </c>
      <c r="E149" s="15" t="s">
        <v>136</v>
      </c>
      <c r="F149" s="15" t="s">
        <v>66</v>
      </c>
    </row>
    <row r="150" ht="22.5" customHeight="1">
      <c r="A150" s="12" t="s">
        <v>270</v>
      </c>
      <c r="B150" s="14">
        <v>1.0</v>
      </c>
      <c r="C150" s="14">
        <v>1.0</v>
      </c>
      <c r="D150" s="14">
        <f t="shared" si="1"/>
        <v>1</v>
      </c>
      <c r="E150" s="15" t="s">
        <v>136</v>
      </c>
      <c r="F150" s="15" t="s">
        <v>69</v>
      </c>
    </row>
    <row r="151" ht="22.5" customHeight="1">
      <c r="A151" s="12" t="s">
        <v>271</v>
      </c>
      <c r="B151" s="14">
        <v>1.0</v>
      </c>
      <c r="C151" s="14">
        <v>1.0</v>
      </c>
      <c r="D151" s="14">
        <f t="shared" si="1"/>
        <v>1</v>
      </c>
      <c r="E151" s="15" t="s">
        <v>136</v>
      </c>
      <c r="F151" s="15" t="s">
        <v>72</v>
      </c>
    </row>
    <row r="152" ht="22.5" customHeight="1">
      <c r="A152" s="12" t="s">
        <v>272</v>
      </c>
      <c r="B152" s="14">
        <v>1.0</v>
      </c>
      <c r="C152" s="14">
        <v>2.0</v>
      </c>
      <c r="D152" s="14">
        <f t="shared" si="1"/>
        <v>2</v>
      </c>
      <c r="E152" s="15" t="s">
        <v>78</v>
      </c>
      <c r="F152" s="15" t="s">
        <v>23</v>
      </c>
    </row>
    <row r="153" ht="22.5" customHeight="1">
      <c r="A153" s="12" t="s">
        <v>273</v>
      </c>
      <c r="B153" s="14">
        <v>1.0</v>
      </c>
      <c r="C153" s="14">
        <v>2.0</v>
      </c>
      <c r="D153" s="14">
        <f t="shared" si="1"/>
        <v>2</v>
      </c>
      <c r="E153" s="15" t="s">
        <v>78</v>
      </c>
      <c r="F153" s="15" t="s">
        <v>28</v>
      </c>
    </row>
    <row r="154" ht="22.5" customHeight="1">
      <c r="A154" s="12" t="s">
        <v>274</v>
      </c>
      <c r="B154" s="14">
        <v>1.0</v>
      </c>
      <c r="C154" s="14">
        <v>2.0</v>
      </c>
      <c r="D154" s="14">
        <f t="shared" si="1"/>
        <v>2</v>
      </c>
      <c r="E154" s="15" t="s">
        <v>90</v>
      </c>
      <c r="F154" s="15" t="s">
        <v>33</v>
      </c>
    </row>
    <row r="155" ht="22.5" customHeight="1">
      <c r="A155" s="12" t="s">
        <v>275</v>
      </c>
      <c r="B155" s="14">
        <v>1.0</v>
      </c>
      <c r="C155" s="14">
        <v>2.0</v>
      </c>
      <c r="D155" s="14">
        <f t="shared" si="1"/>
        <v>2</v>
      </c>
      <c r="E155" s="15" t="s">
        <v>90</v>
      </c>
      <c r="F155" s="15" t="s">
        <v>37</v>
      </c>
    </row>
    <row r="156" ht="22.5" customHeight="1">
      <c r="A156" s="12" t="s">
        <v>276</v>
      </c>
      <c r="B156" s="14">
        <v>1.0</v>
      </c>
      <c r="C156" s="14">
        <v>2.0</v>
      </c>
      <c r="D156" s="14">
        <f t="shared" si="1"/>
        <v>2</v>
      </c>
      <c r="E156" s="15" t="s">
        <v>90</v>
      </c>
      <c r="F156" s="15" t="s">
        <v>41</v>
      </c>
    </row>
    <row r="157" ht="22.5" customHeight="1">
      <c r="A157" s="12" t="s">
        <v>277</v>
      </c>
      <c r="B157" s="14">
        <v>1.0</v>
      </c>
      <c r="C157" s="14">
        <v>2.0</v>
      </c>
      <c r="D157" s="14">
        <f t="shared" si="1"/>
        <v>2</v>
      </c>
      <c r="E157" s="15" t="s">
        <v>90</v>
      </c>
      <c r="F157" s="15" t="s">
        <v>45</v>
      </c>
    </row>
    <row r="158" ht="22.5" customHeight="1">
      <c r="A158" s="12" t="s">
        <v>278</v>
      </c>
      <c r="B158" s="14">
        <v>1.0</v>
      </c>
      <c r="C158" s="14">
        <v>2.0</v>
      </c>
      <c r="D158" s="14">
        <f t="shared" si="1"/>
        <v>2</v>
      </c>
      <c r="E158" s="15" t="s">
        <v>38</v>
      </c>
      <c r="F158" s="15" t="s">
        <v>48</v>
      </c>
    </row>
    <row r="159" ht="22.5" customHeight="1">
      <c r="A159" s="12" t="s">
        <v>279</v>
      </c>
      <c r="B159" s="14">
        <v>1.0</v>
      </c>
      <c r="C159" s="14">
        <v>2.0</v>
      </c>
      <c r="D159" s="14">
        <f t="shared" si="1"/>
        <v>2</v>
      </c>
      <c r="E159" s="15" t="s">
        <v>38</v>
      </c>
      <c r="F159" s="15" t="s">
        <v>51</v>
      </c>
    </row>
    <row r="160" ht="22.5" customHeight="1">
      <c r="A160" s="12" t="s">
        <v>280</v>
      </c>
      <c r="B160" s="14">
        <v>1.0</v>
      </c>
      <c r="C160" s="14">
        <v>2.0</v>
      </c>
      <c r="D160" s="14">
        <f t="shared" si="1"/>
        <v>2</v>
      </c>
      <c r="E160" s="15" t="s">
        <v>38</v>
      </c>
      <c r="F160" s="15" t="s">
        <v>54</v>
      </c>
    </row>
    <row r="161" ht="22.5" customHeight="1">
      <c r="A161" s="12" t="s">
        <v>281</v>
      </c>
      <c r="B161" s="14">
        <v>1.0</v>
      </c>
      <c r="C161" s="14">
        <v>2.0</v>
      </c>
      <c r="D161" s="14">
        <f t="shared" si="1"/>
        <v>2</v>
      </c>
      <c r="E161" s="15" t="s">
        <v>90</v>
      </c>
      <c r="F161" s="15" t="s">
        <v>63</v>
      </c>
    </row>
    <row r="162" ht="22.5" customHeight="1">
      <c r="A162" s="12" t="s">
        <v>282</v>
      </c>
      <c r="B162" s="14">
        <v>1.0</v>
      </c>
      <c r="C162" s="14">
        <v>3.0</v>
      </c>
      <c r="D162" s="14">
        <f t="shared" si="1"/>
        <v>3</v>
      </c>
      <c r="E162" s="15" t="s">
        <v>38</v>
      </c>
      <c r="F162" s="15" t="s">
        <v>72</v>
      </c>
    </row>
    <row r="163" ht="22.5" customHeight="1">
      <c r="A163" s="12" t="s">
        <v>283</v>
      </c>
      <c r="B163" s="14">
        <v>1.0</v>
      </c>
      <c r="C163" s="14">
        <v>2.0</v>
      </c>
      <c r="D163" s="14">
        <f t="shared" si="1"/>
        <v>2</v>
      </c>
      <c r="E163" s="15" t="s">
        <v>90</v>
      </c>
      <c r="F163" s="15" t="s">
        <v>23</v>
      </c>
    </row>
    <row r="164" ht="22.5" customHeight="1">
      <c r="A164" s="12" t="s">
        <v>284</v>
      </c>
      <c r="B164" s="14">
        <v>1.0</v>
      </c>
      <c r="C164" s="14">
        <v>2.0</v>
      </c>
      <c r="D164" s="14">
        <f t="shared" si="1"/>
        <v>2</v>
      </c>
      <c r="E164" s="15" t="s">
        <v>90</v>
      </c>
      <c r="F164" s="15" t="s">
        <v>28</v>
      </c>
    </row>
    <row r="165" ht="22.5" customHeight="1">
      <c r="A165" s="12" t="s">
        <v>285</v>
      </c>
      <c r="B165" s="14">
        <v>1.0</v>
      </c>
      <c r="C165" s="14">
        <v>2.0</v>
      </c>
      <c r="D165" s="14">
        <f t="shared" si="1"/>
        <v>2</v>
      </c>
      <c r="E165" s="15" t="s">
        <v>90</v>
      </c>
      <c r="F165" s="15" t="s">
        <v>33</v>
      </c>
    </row>
    <row r="166" ht="22.5" customHeight="1">
      <c r="A166" s="12" t="s">
        <v>286</v>
      </c>
      <c r="B166" s="14">
        <v>1.0</v>
      </c>
      <c r="C166" s="14">
        <v>2.0</v>
      </c>
      <c r="D166" s="14">
        <f t="shared" si="1"/>
        <v>2</v>
      </c>
      <c r="E166" s="15" t="s">
        <v>90</v>
      </c>
      <c r="F166" s="15" t="s">
        <v>37</v>
      </c>
    </row>
    <row r="167" ht="22.5" customHeight="1">
      <c r="A167" s="12" t="s">
        <v>287</v>
      </c>
      <c r="B167" s="14">
        <v>1.0</v>
      </c>
      <c r="C167" s="14">
        <v>2.0</v>
      </c>
      <c r="D167" s="14">
        <f t="shared" si="1"/>
        <v>2</v>
      </c>
      <c r="E167" s="15" t="s">
        <v>90</v>
      </c>
      <c r="F167" s="15" t="s">
        <v>41</v>
      </c>
    </row>
    <row r="168" ht="22.5" customHeight="1">
      <c r="A168" s="12" t="s">
        <v>288</v>
      </c>
      <c r="B168" s="14">
        <v>1.0</v>
      </c>
      <c r="C168" s="14">
        <v>2.0</v>
      </c>
      <c r="D168" s="14">
        <f t="shared" si="1"/>
        <v>2</v>
      </c>
      <c r="E168" s="15" t="s">
        <v>90</v>
      </c>
      <c r="F168" s="15" t="s">
        <v>45</v>
      </c>
    </row>
    <row r="169" ht="22.5" customHeight="1">
      <c r="A169" s="12" t="s">
        <v>289</v>
      </c>
      <c r="B169" s="14">
        <v>1.0</v>
      </c>
      <c r="C169" s="14">
        <v>2.0</v>
      </c>
      <c r="D169" s="14">
        <f t="shared" si="1"/>
        <v>2</v>
      </c>
      <c r="E169" s="15" t="s">
        <v>106</v>
      </c>
      <c r="F169" s="15" t="s">
        <v>23</v>
      </c>
    </row>
    <row r="170" ht="22.5" customHeight="1">
      <c r="A170" s="12" t="s">
        <v>290</v>
      </c>
      <c r="B170" s="14">
        <v>1.0</v>
      </c>
      <c r="C170" s="14">
        <v>2.0</v>
      </c>
      <c r="D170" s="14">
        <f t="shared" si="1"/>
        <v>2</v>
      </c>
      <c r="E170" s="15" t="s">
        <v>106</v>
      </c>
      <c r="F170" s="15" t="s">
        <v>28</v>
      </c>
    </row>
    <row r="171" ht="22.5" customHeight="1">
      <c r="A171" s="12" t="s">
        <v>291</v>
      </c>
      <c r="B171" s="14">
        <v>1.0</v>
      </c>
      <c r="C171" s="14">
        <v>2.0</v>
      </c>
      <c r="D171" s="14">
        <f t="shared" si="1"/>
        <v>2</v>
      </c>
      <c r="E171" s="15" t="s">
        <v>106</v>
      </c>
      <c r="F171" s="15" t="s">
        <v>33</v>
      </c>
    </row>
    <row r="172" ht="22.5" customHeight="1">
      <c r="A172" s="12" t="s">
        <v>292</v>
      </c>
      <c r="B172" s="14">
        <v>1.0</v>
      </c>
      <c r="C172" s="14">
        <v>2.0</v>
      </c>
      <c r="D172" s="14">
        <f t="shared" si="1"/>
        <v>2</v>
      </c>
      <c r="E172" s="15" t="s">
        <v>106</v>
      </c>
      <c r="F172" s="15" t="s">
        <v>37</v>
      </c>
    </row>
    <row r="173" ht="22.5" customHeight="1">
      <c r="A173" s="12" t="s">
        <v>293</v>
      </c>
      <c r="B173" s="14">
        <v>1.0</v>
      </c>
      <c r="C173" s="14">
        <v>2.0</v>
      </c>
      <c r="D173" s="14">
        <f t="shared" si="1"/>
        <v>2</v>
      </c>
      <c r="E173" s="15" t="s">
        <v>106</v>
      </c>
      <c r="F173" s="15" t="s">
        <v>41</v>
      </c>
    </row>
    <row r="174" ht="22.5" customHeight="1">
      <c r="A174" s="12" t="s">
        <v>294</v>
      </c>
      <c r="B174" s="14">
        <v>1.0</v>
      </c>
      <c r="C174" s="14">
        <v>2.0</v>
      </c>
      <c r="D174" s="14">
        <f t="shared" si="1"/>
        <v>2</v>
      </c>
      <c r="E174" s="15" t="s">
        <v>106</v>
      </c>
      <c r="F174" s="15" t="s">
        <v>45</v>
      </c>
    </row>
    <row r="175" ht="22.5" customHeight="1">
      <c r="A175" s="12" t="s">
        <v>295</v>
      </c>
      <c r="B175" s="14">
        <v>1.0</v>
      </c>
      <c r="C175" s="14">
        <v>2.0</v>
      </c>
      <c r="D175" s="14">
        <f t="shared" si="1"/>
        <v>2</v>
      </c>
      <c r="E175" s="15" t="s">
        <v>106</v>
      </c>
      <c r="F175" s="15" t="s">
        <v>63</v>
      </c>
    </row>
    <row r="176" ht="22.5" customHeight="1">
      <c r="A176" s="12" t="s">
        <v>296</v>
      </c>
      <c r="B176" s="14">
        <v>1.0</v>
      </c>
      <c r="C176" s="14">
        <v>2.0</v>
      </c>
      <c r="D176" s="14">
        <f t="shared" si="1"/>
        <v>2</v>
      </c>
      <c r="E176" s="15" t="s">
        <v>106</v>
      </c>
      <c r="F176" s="15" t="s">
        <v>66</v>
      </c>
    </row>
    <row r="177" ht="22.5" customHeight="1">
      <c r="A177" s="12" t="s">
        <v>297</v>
      </c>
      <c r="B177" s="14">
        <v>1.0</v>
      </c>
      <c r="C177" s="14">
        <v>2.0</v>
      </c>
      <c r="D177" s="14">
        <f t="shared" si="1"/>
        <v>2</v>
      </c>
      <c r="E177" s="15" t="s">
        <v>106</v>
      </c>
      <c r="F177" s="15" t="s">
        <v>69</v>
      </c>
    </row>
    <row r="178" ht="22.5" customHeight="1">
      <c r="A178" s="12" t="s">
        <v>298</v>
      </c>
      <c r="B178" s="14">
        <v>1.0</v>
      </c>
      <c r="C178" s="14">
        <v>1.0</v>
      </c>
      <c r="D178" s="14">
        <f t="shared" si="1"/>
        <v>1</v>
      </c>
      <c r="E178" s="15" t="s">
        <v>58</v>
      </c>
      <c r="F178" s="15" t="s">
        <v>37</v>
      </c>
    </row>
    <row r="179" ht="22.5" customHeight="1">
      <c r="A179" s="12" t="s">
        <v>299</v>
      </c>
      <c r="B179" s="14">
        <v>1.0</v>
      </c>
      <c r="C179" s="14">
        <v>1.0</v>
      </c>
      <c r="D179" s="14">
        <f t="shared" si="1"/>
        <v>1</v>
      </c>
      <c r="E179" s="15" t="s">
        <v>58</v>
      </c>
      <c r="F179" s="15" t="s">
        <v>41</v>
      </c>
    </row>
    <row r="180" ht="22.5" customHeight="1">
      <c r="A180" s="12" t="s">
        <v>300</v>
      </c>
      <c r="B180" s="14">
        <v>1.0</v>
      </c>
      <c r="C180" s="14">
        <v>1.0</v>
      </c>
      <c r="D180" s="14">
        <f t="shared" si="1"/>
        <v>1</v>
      </c>
      <c r="E180" s="15" t="s">
        <v>58</v>
      </c>
      <c r="F180" s="15" t="s">
        <v>45</v>
      </c>
    </row>
    <row r="181" ht="22.5" customHeight="1">
      <c r="A181" s="12" t="s">
        <v>301</v>
      </c>
      <c r="B181" s="14">
        <v>1.0</v>
      </c>
      <c r="C181" s="14">
        <v>3.0</v>
      </c>
      <c r="D181" s="14">
        <f t="shared" si="1"/>
        <v>3</v>
      </c>
      <c r="E181" s="15" t="s">
        <v>102</v>
      </c>
      <c r="F181" s="15" t="s">
        <v>48</v>
      </c>
    </row>
    <row r="182" ht="22.5" customHeight="1">
      <c r="A182" s="12" t="s">
        <v>302</v>
      </c>
      <c r="B182" s="14">
        <v>1.0</v>
      </c>
      <c r="C182" s="14">
        <v>3.0</v>
      </c>
      <c r="D182" s="14">
        <f t="shared" si="1"/>
        <v>3</v>
      </c>
      <c r="E182" s="15" t="s">
        <v>102</v>
      </c>
      <c r="F182" s="15" t="s">
        <v>51</v>
      </c>
    </row>
    <row r="183" ht="22.5" customHeight="1">
      <c r="A183" s="12" t="s">
        <v>303</v>
      </c>
      <c r="B183" s="14">
        <v>1.0</v>
      </c>
      <c r="C183" s="14">
        <v>3.0</v>
      </c>
      <c r="D183" s="14">
        <f t="shared" si="1"/>
        <v>3</v>
      </c>
      <c r="E183" s="15" t="s">
        <v>67</v>
      </c>
      <c r="F183" s="15" t="s">
        <v>54</v>
      </c>
    </row>
    <row r="184" ht="22.5" customHeight="1">
      <c r="A184" s="12" t="s">
        <v>304</v>
      </c>
      <c r="B184" s="14">
        <v>1.0</v>
      </c>
      <c r="C184" s="14">
        <v>2.0</v>
      </c>
      <c r="D184" s="14">
        <f t="shared" si="1"/>
        <v>2</v>
      </c>
      <c r="E184" s="15" t="s">
        <v>140</v>
      </c>
      <c r="F184" s="15" t="s">
        <v>57</v>
      </c>
    </row>
    <row r="185" ht="22.5" customHeight="1">
      <c r="A185" s="12" t="s">
        <v>305</v>
      </c>
      <c r="B185" s="14">
        <v>1.0</v>
      </c>
      <c r="C185" s="14">
        <v>2.0</v>
      </c>
      <c r="D185" s="14">
        <f t="shared" si="1"/>
        <v>2</v>
      </c>
      <c r="E185" s="15" t="s">
        <v>61</v>
      </c>
      <c r="F185" s="15" t="s">
        <v>60</v>
      </c>
    </row>
    <row r="186" ht="22.5" customHeight="1">
      <c r="A186" s="12" t="s">
        <v>306</v>
      </c>
      <c r="B186" s="14">
        <v>1.0</v>
      </c>
      <c r="C186" s="14">
        <v>3.0</v>
      </c>
      <c r="D186" s="14">
        <f t="shared" si="1"/>
        <v>3</v>
      </c>
      <c r="E186" s="15" t="s">
        <v>67</v>
      </c>
      <c r="F186" s="15" t="s">
        <v>63</v>
      </c>
    </row>
    <row r="187" ht="22.5" customHeight="1">
      <c r="A187" s="12" t="s">
        <v>307</v>
      </c>
      <c r="B187" s="14">
        <v>1.0</v>
      </c>
      <c r="C187" s="14">
        <v>3.0</v>
      </c>
      <c r="D187" s="14">
        <f t="shared" si="1"/>
        <v>3</v>
      </c>
      <c r="E187" s="15" t="s">
        <v>67</v>
      </c>
      <c r="F187" s="15" t="s">
        <v>72</v>
      </c>
    </row>
    <row r="188" ht="22.5" customHeight="1">
      <c r="A188" s="12" t="s">
        <v>308</v>
      </c>
      <c r="B188" s="14">
        <v>1.0</v>
      </c>
      <c r="C188" s="14">
        <v>2.0</v>
      </c>
      <c r="D188" s="14">
        <f t="shared" si="1"/>
        <v>2</v>
      </c>
      <c r="E188" s="15" t="s">
        <v>142</v>
      </c>
      <c r="F188" s="15" t="s">
        <v>48</v>
      </c>
    </row>
    <row r="189" ht="22.5" customHeight="1">
      <c r="A189" s="12" t="s">
        <v>309</v>
      </c>
      <c r="B189" s="14">
        <v>1.0</v>
      </c>
      <c r="C189" s="14">
        <v>2.0</v>
      </c>
      <c r="D189" s="14">
        <f t="shared" si="1"/>
        <v>2</v>
      </c>
      <c r="E189" s="15" t="s">
        <v>120</v>
      </c>
      <c r="F189" s="15" t="s">
        <v>48</v>
      </c>
    </row>
    <row r="190" ht="22.5" customHeight="1">
      <c r="A190" s="12" t="s">
        <v>310</v>
      </c>
      <c r="B190" s="14">
        <v>1.0</v>
      </c>
      <c r="C190" s="14">
        <v>2.0</v>
      </c>
      <c r="D190" s="14">
        <f t="shared" si="1"/>
        <v>2</v>
      </c>
      <c r="E190" s="15" t="s">
        <v>120</v>
      </c>
      <c r="F190" s="15" t="s">
        <v>51</v>
      </c>
    </row>
    <row r="191" ht="22.5" customHeight="1">
      <c r="A191" s="12" t="s">
        <v>311</v>
      </c>
      <c r="B191" s="14">
        <v>1.0</v>
      </c>
      <c r="C191" s="14">
        <v>2.0</v>
      </c>
      <c r="D191" s="14">
        <f t="shared" si="1"/>
        <v>2</v>
      </c>
      <c r="E191" s="15" t="s">
        <v>120</v>
      </c>
      <c r="F191" s="15" t="s">
        <v>54</v>
      </c>
    </row>
    <row r="192" ht="22.5" customHeight="1">
      <c r="A192" s="12" t="s">
        <v>312</v>
      </c>
      <c r="B192" s="14">
        <v>1.0</v>
      </c>
      <c r="C192" s="14">
        <v>2.0</v>
      </c>
      <c r="D192" s="14">
        <f t="shared" si="1"/>
        <v>2</v>
      </c>
      <c r="E192" s="15" t="s">
        <v>142</v>
      </c>
      <c r="F192" s="15" t="s">
        <v>48</v>
      </c>
    </row>
    <row r="193" ht="22.5" customHeight="1">
      <c r="A193" s="12" t="s">
        <v>313</v>
      </c>
      <c r="B193" s="14">
        <v>1.0</v>
      </c>
      <c r="C193" s="14">
        <v>2.0</v>
      </c>
      <c r="D193" s="14">
        <f t="shared" si="1"/>
        <v>2</v>
      </c>
      <c r="E193" s="15" t="s">
        <v>134</v>
      </c>
      <c r="F193" s="15" t="s">
        <v>51</v>
      </c>
    </row>
    <row r="194" ht="22.5" customHeight="1">
      <c r="A194" s="12" t="s">
        <v>314</v>
      </c>
      <c r="B194" s="14">
        <v>1.0</v>
      </c>
      <c r="C194" s="14">
        <v>2.0</v>
      </c>
      <c r="D194" s="14">
        <f t="shared" si="1"/>
        <v>2</v>
      </c>
      <c r="E194" s="15" t="s">
        <v>102</v>
      </c>
      <c r="F194" s="15" t="s">
        <v>54</v>
      </c>
    </row>
    <row r="195" ht="22.5" customHeight="1">
      <c r="A195" s="12" t="s">
        <v>315</v>
      </c>
      <c r="B195" s="14">
        <v>1.0</v>
      </c>
      <c r="C195" s="14">
        <v>2.0</v>
      </c>
      <c r="D195" s="14">
        <f t="shared" si="1"/>
        <v>2</v>
      </c>
      <c r="E195" s="15" t="s">
        <v>102</v>
      </c>
      <c r="F195" s="15" t="s">
        <v>57</v>
      </c>
    </row>
    <row r="196" ht="22.5" customHeight="1">
      <c r="A196" s="12" t="s">
        <v>316</v>
      </c>
      <c r="B196" s="14">
        <v>2.0</v>
      </c>
      <c r="C196" s="14">
        <v>2.0</v>
      </c>
      <c r="D196" s="14">
        <f t="shared" si="1"/>
        <v>4</v>
      </c>
      <c r="E196" s="15" t="s">
        <v>102</v>
      </c>
      <c r="F196" s="15" t="s">
        <v>63</v>
      </c>
    </row>
    <row r="197" ht="22.5" customHeight="1">
      <c r="A197" s="12" t="s">
        <v>317</v>
      </c>
      <c r="B197" s="14">
        <v>1.0</v>
      </c>
      <c r="C197" s="14">
        <v>3.0</v>
      </c>
      <c r="D197" s="14">
        <f t="shared" si="1"/>
        <v>3</v>
      </c>
      <c r="E197" s="15" t="s">
        <v>102</v>
      </c>
      <c r="F197" s="15" t="s">
        <v>72</v>
      </c>
    </row>
    <row r="198" ht="22.5" customHeight="1">
      <c r="A198" s="12" t="s">
        <v>318</v>
      </c>
      <c r="B198" s="14">
        <v>1.0</v>
      </c>
      <c r="C198" s="14">
        <v>2.0</v>
      </c>
      <c r="D198" s="14">
        <f t="shared" si="1"/>
        <v>2</v>
      </c>
      <c r="E198" s="15" t="s">
        <v>102</v>
      </c>
      <c r="F198" s="15" t="s">
        <v>60</v>
      </c>
    </row>
    <row r="199" ht="22.5" customHeight="1">
      <c r="A199" s="12" t="s">
        <v>319</v>
      </c>
      <c r="B199" s="14">
        <v>1.0</v>
      </c>
      <c r="C199" s="14">
        <v>2.0</v>
      </c>
      <c r="D199" s="14">
        <f t="shared" si="1"/>
        <v>2</v>
      </c>
      <c r="E199" s="15" t="s">
        <v>142</v>
      </c>
      <c r="F199" s="15" t="s">
        <v>57</v>
      </c>
    </row>
    <row r="200" ht="22.5" customHeight="1">
      <c r="A200" s="12" t="s">
        <v>320</v>
      </c>
      <c r="B200" s="14">
        <v>1.0</v>
      </c>
      <c r="C200" s="14">
        <v>4.0</v>
      </c>
      <c r="D200" s="14">
        <f t="shared" si="1"/>
        <v>4</v>
      </c>
      <c r="E200" s="15" t="s">
        <v>142</v>
      </c>
      <c r="F200" s="15" t="s">
        <v>57</v>
      </c>
    </row>
    <row r="201" ht="22.5" customHeight="1">
      <c r="A201" s="12" t="s">
        <v>321</v>
      </c>
      <c r="B201" s="14">
        <v>1.0</v>
      </c>
      <c r="C201" s="14">
        <v>2.0</v>
      </c>
      <c r="D201" s="14">
        <f t="shared" si="1"/>
        <v>2</v>
      </c>
      <c r="E201" s="15" t="s">
        <v>120</v>
      </c>
      <c r="F201" s="15" t="s">
        <v>57</v>
      </c>
    </row>
    <row r="202" ht="22.5" customHeight="1">
      <c r="A202" s="12" t="s">
        <v>322</v>
      </c>
      <c r="B202" s="14">
        <v>1.0</v>
      </c>
      <c r="C202" s="14">
        <v>2.0</v>
      </c>
      <c r="D202" s="14">
        <f t="shared" si="1"/>
        <v>2</v>
      </c>
      <c r="E202" s="15" t="s">
        <v>46</v>
      </c>
      <c r="F202" s="15" t="s">
        <v>60</v>
      </c>
    </row>
    <row r="203" ht="22.5" customHeight="1">
      <c r="A203" s="12" t="s">
        <v>323</v>
      </c>
      <c r="B203" s="14">
        <v>1.0</v>
      </c>
      <c r="C203" s="14">
        <v>2.0</v>
      </c>
      <c r="D203" s="14">
        <f t="shared" si="1"/>
        <v>2</v>
      </c>
      <c r="E203" s="15" t="s">
        <v>120</v>
      </c>
      <c r="F203" s="15" t="s">
        <v>63</v>
      </c>
    </row>
    <row r="204" ht="22.5" customHeight="1">
      <c r="A204" s="12" t="s">
        <v>324</v>
      </c>
      <c r="B204" s="14">
        <v>1.0</v>
      </c>
      <c r="C204" s="14">
        <v>2.0</v>
      </c>
      <c r="D204" s="14">
        <f t="shared" si="1"/>
        <v>2</v>
      </c>
      <c r="E204" s="15" t="s">
        <v>142</v>
      </c>
      <c r="F204" s="15" t="s">
        <v>57</v>
      </c>
    </row>
    <row r="205" ht="22.5" customHeight="1">
      <c r="A205" s="12" t="s">
        <v>325</v>
      </c>
      <c r="B205" s="14">
        <v>1.0</v>
      </c>
      <c r="C205" s="14">
        <v>2.0</v>
      </c>
      <c r="D205" s="14">
        <f t="shared" si="1"/>
        <v>2</v>
      </c>
      <c r="E205" s="15" t="s">
        <v>49</v>
      </c>
      <c r="F205" s="15" t="s">
        <v>57</v>
      </c>
    </row>
    <row r="206" ht="22.5" customHeight="1">
      <c r="A206" s="12" t="s">
        <v>326</v>
      </c>
      <c r="B206" s="14">
        <v>1.0</v>
      </c>
      <c r="C206" s="14">
        <v>2.0</v>
      </c>
      <c r="D206" s="14">
        <f t="shared" si="1"/>
        <v>2</v>
      </c>
      <c r="E206" s="15" t="s">
        <v>24</v>
      </c>
      <c r="F206" s="15" t="s">
        <v>60</v>
      </c>
    </row>
    <row r="207" ht="22.5" customHeight="1">
      <c r="A207" s="12" t="s">
        <v>327</v>
      </c>
      <c r="B207" s="14">
        <v>1.0</v>
      </c>
      <c r="C207" s="14">
        <v>3.0</v>
      </c>
      <c r="D207" s="14">
        <f t="shared" si="1"/>
        <v>3</v>
      </c>
      <c r="E207" s="15" t="s">
        <v>80</v>
      </c>
      <c r="F207" s="15" t="s">
        <v>60</v>
      </c>
    </row>
    <row r="208" ht="22.5" customHeight="1">
      <c r="A208" s="12" t="s">
        <v>328</v>
      </c>
      <c r="B208" s="14">
        <v>1.0</v>
      </c>
      <c r="C208" s="14">
        <v>2.0</v>
      </c>
      <c r="D208" s="14">
        <f t="shared" si="1"/>
        <v>2</v>
      </c>
      <c r="E208" s="15" t="s">
        <v>80</v>
      </c>
      <c r="F208" s="15" t="s">
        <v>60</v>
      </c>
    </row>
    <row r="209" ht="22.5" customHeight="1">
      <c r="A209" s="12" t="s">
        <v>329</v>
      </c>
      <c r="B209" s="14">
        <v>1.0</v>
      </c>
      <c r="C209" s="14">
        <v>3.0</v>
      </c>
      <c r="D209" s="14">
        <f t="shared" si="1"/>
        <v>3</v>
      </c>
      <c r="E209" s="15" t="s">
        <v>80</v>
      </c>
      <c r="F209" s="15" t="s">
        <v>66</v>
      </c>
    </row>
    <row r="210" ht="22.5" customHeight="1">
      <c r="A210" s="12" t="s">
        <v>330</v>
      </c>
      <c r="B210" s="14">
        <v>1.0</v>
      </c>
      <c r="C210" s="14">
        <v>2.0</v>
      </c>
      <c r="D210" s="14">
        <f t="shared" si="1"/>
        <v>2</v>
      </c>
      <c r="E210" s="15" t="s">
        <v>78</v>
      </c>
      <c r="F210" s="15" t="s">
        <v>63</v>
      </c>
    </row>
    <row r="211" ht="22.5" customHeight="1">
      <c r="A211" s="12" t="s">
        <v>331</v>
      </c>
      <c r="B211" s="14">
        <v>1.0</v>
      </c>
      <c r="C211" s="14">
        <v>2.0</v>
      </c>
      <c r="D211" s="14">
        <f t="shared" si="1"/>
        <v>2</v>
      </c>
      <c r="E211" s="15" t="s">
        <v>112</v>
      </c>
      <c r="F211" s="15" t="s">
        <v>66</v>
      </c>
    </row>
    <row r="212" ht="22.5" customHeight="1">
      <c r="A212" s="12" t="s">
        <v>332</v>
      </c>
      <c r="B212" s="14">
        <v>1.0</v>
      </c>
      <c r="C212" s="14">
        <v>2.0</v>
      </c>
      <c r="D212" s="14">
        <f t="shared" si="1"/>
        <v>2</v>
      </c>
      <c r="E212" s="15" t="s">
        <v>112</v>
      </c>
      <c r="F212" s="15" t="s">
        <v>69</v>
      </c>
    </row>
    <row r="213" ht="22.5" customHeight="1">
      <c r="A213" s="12" t="s">
        <v>333</v>
      </c>
      <c r="B213" s="14">
        <v>1.0</v>
      </c>
      <c r="C213" s="14">
        <v>2.0</v>
      </c>
      <c r="D213" s="14">
        <f t="shared" si="1"/>
        <v>2</v>
      </c>
      <c r="E213" s="15" t="s">
        <v>112</v>
      </c>
      <c r="F213" s="15" t="s">
        <v>72</v>
      </c>
    </row>
    <row r="214" ht="22.5" customHeight="1">
      <c r="A214" s="12" t="s">
        <v>334</v>
      </c>
      <c r="B214" s="14">
        <v>2.0</v>
      </c>
      <c r="C214" s="14">
        <v>2.0</v>
      </c>
      <c r="D214" s="14">
        <f t="shared" si="1"/>
        <v>4</v>
      </c>
      <c r="E214" s="15" t="s">
        <v>142</v>
      </c>
      <c r="F214" s="15" t="s">
        <v>66</v>
      </c>
    </row>
    <row r="215" ht="22.5" customHeight="1">
      <c r="A215" s="12" t="s">
        <v>335</v>
      </c>
      <c r="B215" s="14">
        <v>1.0</v>
      </c>
      <c r="C215" s="14">
        <v>2.0</v>
      </c>
      <c r="D215" s="14">
        <f t="shared" si="1"/>
        <v>2</v>
      </c>
      <c r="E215" s="15" t="s">
        <v>114</v>
      </c>
      <c r="F215" s="15" t="s">
        <v>66</v>
      </c>
    </row>
    <row r="216" ht="22.5" customHeight="1">
      <c r="A216" s="12" t="s">
        <v>336</v>
      </c>
      <c r="B216" s="14">
        <v>1.0</v>
      </c>
      <c r="C216" s="14">
        <v>2.0</v>
      </c>
      <c r="D216" s="14">
        <f t="shared" si="1"/>
        <v>2</v>
      </c>
      <c r="E216" s="15" t="s">
        <v>114</v>
      </c>
      <c r="F216" s="15" t="s">
        <v>72</v>
      </c>
    </row>
    <row r="217" ht="22.5" customHeight="1">
      <c r="A217" s="12" t="s">
        <v>337</v>
      </c>
      <c r="B217" s="14">
        <v>1.0</v>
      </c>
      <c r="C217" s="14">
        <v>2.0</v>
      </c>
      <c r="D217" s="14">
        <f t="shared" si="1"/>
        <v>2</v>
      </c>
      <c r="E217" s="15" t="s">
        <v>46</v>
      </c>
      <c r="F217" s="15" t="s">
        <v>66</v>
      </c>
    </row>
    <row r="218" ht="22.5" customHeight="1">
      <c r="A218" s="12" t="s">
        <v>338</v>
      </c>
      <c r="B218" s="14">
        <v>1.0</v>
      </c>
      <c r="C218" s="14">
        <v>2.0</v>
      </c>
      <c r="D218" s="14">
        <f t="shared" si="1"/>
        <v>2</v>
      </c>
      <c r="E218" s="15" t="s">
        <v>46</v>
      </c>
      <c r="F218" s="15" t="s">
        <v>69</v>
      </c>
    </row>
    <row r="219" ht="22.5" customHeight="1">
      <c r="A219" s="12" t="s">
        <v>339</v>
      </c>
      <c r="B219" s="14">
        <v>1.0</v>
      </c>
      <c r="C219" s="14">
        <v>2.0</v>
      </c>
      <c r="D219" s="14">
        <f t="shared" si="1"/>
        <v>2</v>
      </c>
      <c r="E219" s="15" t="s">
        <v>46</v>
      </c>
      <c r="F219" s="15" t="s">
        <v>72</v>
      </c>
    </row>
    <row r="220" ht="22.5" customHeight="1">
      <c r="A220" s="12" t="s">
        <v>340</v>
      </c>
      <c r="B220" s="14">
        <v>1.0</v>
      </c>
      <c r="C220" s="14">
        <v>1.0</v>
      </c>
      <c r="D220" s="14">
        <f t="shared" si="1"/>
        <v>1</v>
      </c>
      <c r="E220" s="15" t="s">
        <v>142</v>
      </c>
      <c r="F220" s="15" t="s">
        <v>66</v>
      </c>
    </row>
    <row r="221" ht="22.5" customHeight="1">
      <c r="A221" s="12" t="s">
        <v>341</v>
      </c>
      <c r="B221" s="14">
        <v>2.0</v>
      </c>
      <c r="C221" s="14">
        <v>2.0</v>
      </c>
      <c r="D221" s="14">
        <f t="shared" si="1"/>
        <v>4</v>
      </c>
      <c r="E221" s="15" t="s">
        <v>80</v>
      </c>
      <c r="F221" s="15" t="s">
        <v>69</v>
      </c>
    </row>
    <row r="222" ht="22.5" customHeight="1">
      <c r="A222" s="12" t="s">
        <v>342</v>
      </c>
      <c r="B222" s="14">
        <v>1.0</v>
      </c>
      <c r="C222" s="14">
        <v>2.0</v>
      </c>
      <c r="D222" s="14">
        <f t="shared" si="1"/>
        <v>2</v>
      </c>
      <c r="E222" s="15" t="s">
        <v>38</v>
      </c>
      <c r="F222" s="15" t="s">
        <v>72</v>
      </c>
    </row>
    <row r="223" ht="22.5" customHeight="1">
      <c r="A223" s="12" t="s">
        <v>343</v>
      </c>
      <c r="B223" s="14">
        <v>1.0</v>
      </c>
      <c r="C223" s="14">
        <v>2.0</v>
      </c>
      <c r="D223" s="14">
        <f t="shared" si="1"/>
        <v>2</v>
      </c>
      <c r="E223" s="15" t="s">
        <v>154</v>
      </c>
      <c r="F223" s="15" t="s">
        <v>57</v>
      </c>
    </row>
    <row r="224" ht="22.5" customHeight="1">
      <c r="A224" s="12" t="s">
        <v>344</v>
      </c>
      <c r="B224" s="14">
        <v>1.0</v>
      </c>
      <c r="C224" s="14">
        <v>2.0</v>
      </c>
      <c r="D224" s="14">
        <f t="shared" si="1"/>
        <v>2</v>
      </c>
      <c r="E224" s="15" t="s">
        <v>154</v>
      </c>
      <c r="F224" s="15" t="s">
        <v>60</v>
      </c>
    </row>
    <row r="225" ht="22.5" customHeight="1">
      <c r="A225" s="12" t="s">
        <v>345</v>
      </c>
      <c r="B225" s="14">
        <v>1.0</v>
      </c>
      <c r="C225" s="14">
        <v>2.0</v>
      </c>
      <c r="D225" s="14">
        <f t="shared" si="1"/>
        <v>2</v>
      </c>
      <c r="E225" s="15" t="s">
        <v>154</v>
      </c>
      <c r="F225" s="15" t="s">
        <v>63</v>
      </c>
    </row>
    <row r="226" ht="22.5" customHeight="1">
      <c r="A226" s="12" t="s">
        <v>346</v>
      </c>
      <c r="B226" s="14">
        <v>1.0</v>
      </c>
      <c r="C226" s="14">
        <v>2.0</v>
      </c>
      <c r="D226" s="14">
        <f t="shared" si="1"/>
        <v>2</v>
      </c>
      <c r="E226" s="15" t="s">
        <v>154</v>
      </c>
      <c r="F226" s="15" t="s">
        <v>66</v>
      </c>
    </row>
    <row r="227" ht="22.5" customHeight="1">
      <c r="A227" s="12" t="s">
        <v>347</v>
      </c>
      <c r="B227" s="14">
        <v>1.0</v>
      </c>
      <c r="C227" s="14">
        <v>2.0</v>
      </c>
      <c r="D227" s="14">
        <f t="shared" si="1"/>
        <v>2</v>
      </c>
      <c r="E227" s="15" t="s">
        <v>154</v>
      </c>
      <c r="F227" s="15" t="s">
        <v>69</v>
      </c>
    </row>
    <row r="228" ht="22.5" customHeight="1">
      <c r="A228" s="12" t="s">
        <v>348</v>
      </c>
      <c r="B228" s="14">
        <v>1.0</v>
      </c>
      <c r="C228" s="14">
        <v>2.0</v>
      </c>
      <c r="D228" s="14">
        <f t="shared" si="1"/>
        <v>2</v>
      </c>
      <c r="E228" s="15" t="s">
        <v>154</v>
      </c>
      <c r="F228" s="15" t="s">
        <v>72</v>
      </c>
    </row>
    <row r="229">
      <c r="A229" s="6"/>
    </row>
  </sheetData>
  <dataValidations>
    <dataValidation type="list" allowBlank="1" sqref="E3:F228">
      <formula1>#REF!</formula1>
    </dataValidation>
    <dataValidation type="custom" allowBlank="1" showDropDown="1" sqref="B3:D228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261</v>
      </c>
      <c r="B1" s="1" t="s">
        <v>349</v>
      </c>
    </row>
    <row r="2">
      <c r="A2" s="6" t="str">
        <f t="array" ref="A2:A20">UNIQUE(Names!A3:A999)</f>
        <v>1A</v>
      </c>
      <c r="B2" s="6">
        <f t="array" ref="B2:B19">MAKEARRAY(Names!A2, 1, LAMBDA(r, c, SUMIFS(Subjects!$D$3:$D999, Subjects!$F$3:$F999, OFFSET($A2, r-1, 0))))</f>
        <v>34</v>
      </c>
    </row>
    <row r="3">
      <c r="A3" s="6" t="s">
        <v>13</v>
      </c>
      <c r="B3" s="6">
        <v>34.0</v>
      </c>
    </row>
    <row r="4">
      <c r="A4" s="6" t="s">
        <v>18</v>
      </c>
      <c r="B4" s="6">
        <v>34.0</v>
      </c>
    </row>
    <row r="5">
      <c r="A5" s="6" t="s">
        <v>23</v>
      </c>
      <c r="B5" s="6">
        <v>34.0</v>
      </c>
    </row>
    <row r="6">
      <c r="A6" s="6" t="s">
        <v>28</v>
      </c>
      <c r="B6" s="6">
        <v>34.0</v>
      </c>
    </row>
    <row r="7">
      <c r="A7" s="6" t="s">
        <v>33</v>
      </c>
      <c r="B7" s="6">
        <v>34.0</v>
      </c>
    </row>
    <row r="8">
      <c r="A8" s="6" t="s">
        <v>37</v>
      </c>
      <c r="B8" s="6">
        <v>34.0</v>
      </c>
    </row>
    <row r="9">
      <c r="A9" s="6" t="s">
        <v>41</v>
      </c>
      <c r="B9" s="6">
        <v>34.0</v>
      </c>
    </row>
    <row r="10">
      <c r="A10" s="6" t="s">
        <v>45</v>
      </c>
      <c r="B10" s="6">
        <v>34.0</v>
      </c>
    </row>
    <row r="11">
      <c r="A11" s="6" t="s">
        <v>48</v>
      </c>
      <c r="B11" s="6">
        <v>33.0</v>
      </c>
    </row>
    <row r="12">
      <c r="A12" s="6" t="s">
        <v>51</v>
      </c>
      <c r="B12" s="6">
        <v>31.0</v>
      </c>
    </row>
    <row r="13">
      <c r="A13" s="6" t="s">
        <v>54</v>
      </c>
      <c r="B13" s="6">
        <v>31.0</v>
      </c>
    </row>
    <row r="14">
      <c r="A14" s="6" t="s">
        <v>57</v>
      </c>
      <c r="B14" s="6">
        <v>34.0</v>
      </c>
    </row>
    <row r="15">
      <c r="A15" s="6" t="s">
        <v>60</v>
      </c>
      <c r="B15" s="6">
        <v>34.0</v>
      </c>
    </row>
    <row r="16">
      <c r="A16" s="6" t="s">
        <v>63</v>
      </c>
      <c r="B16" s="6">
        <v>33.0</v>
      </c>
    </row>
    <row r="17">
      <c r="A17" s="6" t="s">
        <v>66</v>
      </c>
      <c r="B17" s="6">
        <v>32.0</v>
      </c>
    </row>
    <row r="18">
      <c r="A18" s="6" t="s">
        <v>69</v>
      </c>
      <c r="B18" s="6">
        <v>31.0</v>
      </c>
    </row>
    <row r="19">
      <c r="A19" s="6" t="s">
        <v>72</v>
      </c>
      <c r="B19" s="6">
        <v>33.0</v>
      </c>
    </row>
    <row r="20">
      <c r="A2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260</v>
      </c>
      <c r="B1" s="1" t="s">
        <v>349</v>
      </c>
    </row>
    <row r="2">
      <c r="A2" s="6" t="str">
        <f t="array" ref="A2:A77">UNIQUE(Names!B3:B999)</f>
        <v>AC1</v>
      </c>
      <c r="B2" s="6">
        <f t="array" ref="B2:B76">MAKEARRAY(Names!B2, 1, LAMBDA(r, c, SUMIFS(Subjects!$D$3:$D999, Subjects!$E$3:$E999, OFFSET($A2, r-1, 0))))</f>
        <v>8</v>
      </c>
    </row>
    <row r="3">
      <c r="A3" s="6" t="s">
        <v>14</v>
      </c>
      <c r="B3" s="6">
        <v>0.0</v>
      </c>
    </row>
    <row r="4">
      <c r="A4" s="6" t="s">
        <v>19</v>
      </c>
      <c r="B4" s="6">
        <v>10.0</v>
      </c>
    </row>
    <row r="5">
      <c r="A5" s="6" t="s">
        <v>24</v>
      </c>
      <c r="B5" s="6">
        <v>2.0</v>
      </c>
    </row>
    <row r="6">
      <c r="A6" s="6" t="s">
        <v>29</v>
      </c>
      <c r="B6" s="6">
        <v>8.0</v>
      </c>
    </row>
    <row r="7">
      <c r="A7" s="6" t="s">
        <v>34</v>
      </c>
      <c r="B7" s="6">
        <v>6.0</v>
      </c>
    </row>
    <row r="8">
      <c r="A8" s="6" t="s">
        <v>38</v>
      </c>
      <c r="B8" s="6">
        <v>23.0</v>
      </c>
    </row>
    <row r="9">
      <c r="A9" s="6" t="s">
        <v>42</v>
      </c>
      <c r="B9" s="6">
        <v>12.0</v>
      </c>
    </row>
    <row r="10">
      <c r="A10" s="6" t="s">
        <v>46</v>
      </c>
      <c r="B10" s="6">
        <v>21.0</v>
      </c>
    </row>
    <row r="11">
      <c r="A11" s="6" t="s">
        <v>49</v>
      </c>
      <c r="B11" s="6">
        <v>5.0</v>
      </c>
    </row>
    <row r="12">
      <c r="A12" s="6" t="s">
        <v>52</v>
      </c>
      <c r="B12" s="6">
        <v>0.0</v>
      </c>
    </row>
    <row r="13">
      <c r="A13" s="6" t="s">
        <v>55</v>
      </c>
      <c r="B13" s="6">
        <v>18.0</v>
      </c>
    </row>
    <row r="14">
      <c r="A14" s="6" t="s">
        <v>58</v>
      </c>
      <c r="B14" s="6">
        <v>3.0</v>
      </c>
    </row>
    <row r="15">
      <c r="A15" s="6" t="s">
        <v>61</v>
      </c>
      <c r="B15" s="6">
        <v>6.0</v>
      </c>
    </row>
    <row r="16">
      <c r="A16" s="6" t="s">
        <v>64</v>
      </c>
      <c r="B16" s="6">
        <v>6.0</v>
      </c>
    </row>
    <row r="17">
      <c r="A17" s="6" t="s">
        <v>67</v>
      </c>
      <c r="B17" s="6">
        <v>18.0</v>
      </c>
    </row>
    <row r="18">
      <c r="A18" s="6" t="s">
        <v>70</v>
      </c>
      <c r="B18" s="6">
        <v>0.0</v>
      </c>
    </row>
    <row r="19">
      <c r="A19" s="6" t="s">
        <v>73</v>
      </c>
      <c r="B19" s="6">
        <v>0.0</v>
      </c>
    </row>
    <row r="20">
      <c r="A20" s="6" t="s">
        <v>75</v>
      </c>
      <c r="B20" s="6">
        <v>25.0</v>
      </c>
    </row>
    <row r="21">
      <c r="A21" s="6" t="s">
        <v>78</v>
      </c>
      <c r="B21" s="6">
        <v>6.0</v>
      </c>
    </row>
    <row r="22">
      <c r="A22" s="6" t="s">
        <v>80</v>
      </c>
      <c r="B22" s="6">
        <v>14.0</v>
      </c>
    </row>
    <row r="23">
      <c r="A23" s="6" t="s">
        <v>82</v>
      </c>
      <c r="B23" s="6">
        <v>4.0</v>
      </c>
    </row>
    <row r="24">
      <c r="A24" s="6" t="s">
        <v>84</v>
      </c>
      <c r="B24" s="6">
        <v>0.0</v>
      </c>
    </row>
    <row r="25">
      <c r="A25" s="6" t="s">
        <v>86</v>
      </c>
      <c r="B25" s="6">
        <v>0.0</v>
      </c>
    </row>
    <row r="26">
      <c r="A26" s="6" t="s">
        <v>88</v>
      </c>
      <c r="B26" s="6">
        <v>10.0</v>
      </c>
    </row>
    <row r="27">
      <c r="A27" s="6" t="s">
        <v>90</v>
      </c>
      <c r="B27" s="6">
        <v>22.0</v>
      </c>
    </row>
    <row r="28">
      <c r="A28" s="6" t="s">
        <v>92</v>
      </c>
      <c r="B28" s="6">
        <v>0.0</v>
      </c>
    </row>
    <row r="29">
      <c r="A29" s="6" t="s">
        <v>95</v>
      </c>
      <c r="B29" s="6">
        <v>0.0</v>
      </c>
    </row>
    <row r="30">
      <c r="A30" s="6" t="s">
        <v>97</v>
      </c>
      <c r="B30" s="6">
        <v>24.0</v>
      </c>
    </row>
    <row r="31">
      <c r="A31" s="6" t="s">
        <v>100</v>
      </c>
      <c r="B31" s="6">
        <v>16.0</v>
      </c>
    </row>
    <row r="32">
      <c r="A32" s="6" t="s">
        <v>102</v>
      </c>
      <c r="B32" s="6">
        <v>19.0</v>
      </c>
    </row>
    <row r="33">
      <c r="A33" s="6" t="s">
        <v>104</v>
      </c>
      <c r="B33" s="6">
        <v>0.0</v>
      </c>
    </row>
    <row r="34">
      <c r="A34" s="6" t="s">
        <v>106</v>
      </c>
      <c r="B34" s="6">
        <v>18.0</v>
      </c>
    </row>
    <row r="35">
      <c r="A35" s="6" t="s">
        <v>108</v>
      </c>
      <c r="B35" s="6">
        <v>0.0</v>
      </c>
    </row>
    <row r="36">
      <c r="A36" s="6" t="s">
        <v>110</v>
      </c>
      <c r="B36" s="6">
        <v>2.0</v>
      </c>
    </row>
    <row r="37">
      <c r="A37" s="6" t="s">
        <v>112</v>
      </c>
      <c r="B37" s="6">
        <v>10.0</v>
      </c>
    </row>
    <row r="38">
      <c r="A38" s="6" t="s">
        <v>114</v>
      </c>
      <c r="B38" s="6">
        <v>19.0</v>
      </c>
    </row>
    <row r="39">
      <c r="A39" s="6" t="s">
        <v>116</v>
      </c>
      <c r="B39" s="6">
        <v>12.0</v>
      </c>
    </row>
    <row r="40">
      <c r="A40" s="6" t="s">
        <v>118</v>
      </c>
      <c r="B40" s="6">
        <v>3.0</v>
      </c>
    </row>
    <row r="41">
      <c r="A41" s="6" t="s">
        <v>120</v>
      </c>
      <c r="B41" s="6">
        <v>14.0</v>
      </c>
    </row>
    <row r="42">
      <c r="A42" s="6" t="s">
        <v>122</v>
      </c>
      <c r="B42" s="6">
        <v>14.0</v>
      </c>
    </row>
    <row r="43">
      <c r="A43" s="6" t="s">
        <v>124</v>
      </c>
      <c r="B43" s="6">
        <v>19.0</v>
      </c>
    </row>
    <row r="44">
      <c r="A44" s="6" t="s">
        <v>126</v>
      </c>
      <c r="B44" s="6">
        <v>27.0</v>
      </c>
    </row>
    <row r="45">
      <c r="A45" s="6" t="s">
        <v>128</v>
      </c>
      <c r="B45" s="6">
        <v>6.0</v>
      </c>
    </row>
    <row r="46">
      <c r="A46" s="6" t="s">
        <v>130</v>
      </c>
      <c r="B46" s="6">
        <v>3.0</v>
      </c>
    </row>
    <row r="47">
      <c r="A47" s="6" t="s">
        <v>132</v>
      </c>
      <c r="B47" s="6">
        <v>0.0</v>
      </c>
    </row>
    <row r="48">
      <c r="A48" s="6" t="s">
        <v>134</v>
      </c>
      <c r="B48" s="6">
        <v>2.0</v>
      </c>
    </row>
    <row r="49">
      <c r="A49" s="6" t="s">
        <v>136</v>
      </c>
      <c r="B49" s="6">
        <v>3.0</v>
      </c>
    </row>
    <row r="50">
      <c r="A50" s="6" t="s">
        <v>138</v>
      </c>
      <c r="B50" s="6">
        <v>3.0</v>
      </c>
    </row>
    <row r="51">
      <c r="A51" s="6" t="s">
        <v>140</v>
      </c>
      <c r="B51" s="6">
        <v>14.0</v>
      </c>
    </row>
    <row r="52">
      <c r="A52" s="6" t="s">
        <v>142</v>
      </c>
      <c r="B52" s="6">
        <v>17.0</v>
      </c>
    </row>
    <row r="53">
      <c r="A53" s="6" t="s">
        <v>144</v>
      </c>
      <c r="B53" s="6">
        <v>0.0</v>
      </c>
    </row>
    <row r="54">
      <c r="A54" s="6" t="s">
        <v>146</v>
      </c>
      <c r="B54" s="6">
        <v>0.0</v>
      </c>
    </row>
    <row r="55">
      <c r="A55" s="6" t="s">
        <v>148</v>
      </c>
      <c r="B55" s="6">
        <v>0.0</v>
      </c>
    </row>
    <row r="56">
      <c r="A56" s="6" t="s">
        <v>150</v>
      </c>
      <c r="B56" s="6">
        <v>0.0</v>
      </c>
    </row>
    <row r="57">
      <c r="A57" s="6" t="s">
        <v>152</v>
      </c>
      <c r="B57" s="6">
        <v>0.0</v>
      </c>
    </row>
    <row r="58">
      <c r="A58" s="6" t="s">
        <v>154</v>
      </c>
      <c r="B58" s="6">
        <v>12.0</v>
      </c>
    </row>
    <row r="59">
      <c r="A59" s="6" t="s">
        <v>156</v>
      </c>
      <c r="B59" s="6">
        <v>9.0</v>
      </c>
    </row>
    <row r="60">
      <c r="A60" s="6" t="s">
        <v>158</v>
      </c>
      <c r="B60" s="6">
        <v>9.0</v>
      </c>
    </row>
    <row r="61">
      <c r="A61" s="6" t="s">
        <v>160</v>
      </c>
      <c r="B61" s="6">
        <v>9.0</v>
      </c>
    </row>
    <row r="62">
      <c r="A62" s="6" t="s">
        <v>162</v>
      </c>
      <c r="B62" s="6">
        <v>8.0</v>
      </c>
    </row>
    <row r="63">
      <c r="A63" s="6" t="s">
        <v>164</v>
      </c>
      <c r="B63" s="6">
        <v>8.0</v>
      </c>
    </row>
    <row r="64">
      <c r="A64" s="6" t="s">
        <v>166</v>
      </c>
      <c r="B64" s="6">
        <v>8.0</v>
      </c>
    </row>
    <row r="65">
      <c r="A65" s="6" t="s">
        <v>168</v>
      </c>
      <c r="B65" s="6">
        <v>8.0</v>
      </c>
    </row>
    <row r="66">
      <c r="A66" s="6" t="s">
        <v>170</v>
      </c>
      <c r="B66" s="6">
        <v>8.0</v>
      </c>
    </row>
    <row r="67">
      <c r="A67" s="6" t="s">
        <v>172</v>
      </c>
      <c r="B67" s="6">
        <v>8.0</v>
      </c>
    </row>
    <row r="68">
      <c r="A68" s="6" t="s">
        <v>174</v>
      </c>
      <c r="B68" s="6">
        <v>5.0</v>
      </c>
    </row>
    <row r="69">
      <c r="A69" s="6" t="s">
        <v>176</v>
      </c>
      <c r="B69" s="6">
        <v>5.0</v>
      </c>
    </row>
    <row r="70">
      <c r="A70" s="6" t="s">
        <v>178</v>
      </c>
      <c r="B70" s="6">
        <v>5.0</v>
      </c>
    </row>
    <row r="71">
      <c r="A71" s="6" t="s">
        <v>180</v>
      </c>
      <c r="B71" s="6">
        <v>4.0</v>
      </c>
    </row>
    <row r="72">
      <c r="A72" s="6" t="s">
        <v>182</v>
      </c>
      <c r="B72" s="6">
        <v>4.0</v>
      </c>
    </row>
    <row r="73">
      <c r="A73" s="6" t="s">
        <v>184</v>
      </c>
      <c r="B73" s="6">
        <v>4.0</v>
      </c>
    </row>
    <row r="74">
      <c r="A74" s="6" t="s">
        <v>186</v>
      </c>
      <c r="B74" s="6">
        <v>4.0</v>
      </c>
    </row>
    <row r="75">
      <c r="A75" s="6" t="s">
        <v>188</v>
      </c>
      <c r="B75" s="6">
        <v>4.0</v>
      </c>
    </row>
    <row r="76">
      <c r="A76" s="6" t="s">
        <v>190</v>
      </c>
      <c r="B76" s="6">
        <v>4.0</v>
      </c>
    </row>
    <row r="77">
      <c r="A77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tr">
        <f t="array" ref="B1:BY1">TRANSPOSE(UNIQUE(Names!B3:B1000))</f>
        <v>AC1</v>
      </c>
      <c r="C1" s="6" t="s">
        <v>14</v>
      </c>
      <c r="D1" s="6" t="s">
        <v>19</v>
      </c>
      <c r="E1" s="6" t="s">
        <v>24</v>
      </c>
      <c r="F1" s="6" t="s">
        <v>29</v>
      </c>
      <c r="G1" s="6" t="s">
        <v>34</v>
      </c>
      <c r="H1" s="6" t="s">
        <v>38</v>
      </c>
      <c r="I1" s="6" t="s">
        <v>42</v>
      </c>
      <c r="J1" s="6" t="s">
        <v>46</v>
      </c>
      <c r="K1" s="6" t="s">
        <v>49</v>
      </c>
      <c r="L1" s="6" t="s">
        <v>52</v>
      </c>
      <c r="M1" s="6" t="s">
        <v>55</v>
      </c>
      <c r="N1" s="6" t="s">
        <v>58</v>
      </c>
      <c r="O1" s="6" t="s">
        <v>61</v>
      </c>
      <c r="P1" s="6" t="s">
        <v>64</v>
      </c>
      <c r="Q1" s="6" t="s">
        <v>67</v>
      </c>
      <c r="R1" s="6" t="s">
        <v>70</v>
      </c>
      <c r="S1" s="6" t="s">
        <v>73</v>
      </c>
      <c r="T1" s="6" t="s">
        <v>75</v>
      </c>
      <c r="U1" s="6" t="s">
        <v>78</v>
      </c>
      <c r="V1" s="6" t="s">
        <v>80</v>
      </c>
      <c r="W1" s="6" t="s">
        <v>82</v>
      </c>
      <c r="X1" s="6" t="s">
        <v>84</v>
      </c>
      <c r="Y1" s="6" t="s">
        <v>86</v>
      </c>
      <c r="Z1" s="6" t="s">
        <v>88</v>
      </c>
      <c r="AA1" s="6" t="s">
        <v>90</v>
      </c>
      <c r="AB1" s="6" t="s">
        <v>92</v>
      </c>
      <c r="AC1" s="6" t="s">
        <v>95</v>
      </c>
      <c r="AD1" s="6" t="s">
        <v>97</v>
      </c>
      <c r="AE1" s="6" t="s">
        <v>100</v>
      </c>
      <c r="AF1" s="6" t="s">
        <v>102</v>
      </c>
      <c r="AG1" s="6" t="s">
        <v>104</v>
      </c>
      <c r="AH1" s="6" t="s">
        <v>106</v>
      </c>
      <c r="AI1" s="6" t="s">
        <v>108</v>
      </c>
      <c r="AJ1" s="6" t="s">
        <v>110</v>
      </c>
      <c r="AK1" s="6" t="s">
        <v>112</v>
      </c>
      <c r="AL1" s="6" t="s">
        <v>114</v>
      </c>
      <c r="AM1" s="6" t="s">
        <v>116</v>
      </c>
      <c r="AN1" s="6" t="s">
        <v>118</v>
      </c>
      <c r="AO1" s="6" t="s">
        <v>120</v>
      </c>
      <c r="AP1" s="6" t="s">
        <v>122</v>
      </c>
      <c r="AQ1" s="6" t="s">
        <v>124</v>
      </c>
      <c r="AR1" s="6" t="s">
        <v>126</v>
      </c>
      <c r="AS1" s="6" t="s">
        <v>128</v>
      </c>
      <c r="AT1" s="6" t="s">
        <v>130</v>
      </c>
      <c r="AU1" s="6" t="s">
        <v>132</v>
      </c>
      <c r="AV1" s="6" t="s">
        <v>134</v>
      </c>
      <c r="AW1" s="6" t="s">
        <v>136</v>
      </c>
      <c r="AX1" s="6" t="s">
        <v>138</v>
      </c>
      <c r="AY1" s="6" t="s">
        <v>140</v>
      </c>
      <c r="AZ1" s="6" t="s">
        <v>142</v>
      </c>
      <c r="BA1" s="6" t="s">
        <v>144</v>
      </c>
      <c r="BB1" s="6" t="s">
        <v>146</v>
      </c>
      <c r="BC1" s="6" t="s">
        <v>148</v>
      </c>
      <c r="BD1" s="6" t="s">
        <v>150</v>
      </c>
      <c r="BE1" s="6" t="s">
        <v>152</v>
      </c>
      <c r="BF1" s="6" t="s">
        <v>154</v>
      </c>
      <c r="BG1" s="6" t="s">
        <v>156</v>
      </c>
      <c r="BH1" s="6" t="s">
        <v>158</v>
      </c>
      <c r="BI1" s="6" t="s">
        <v>160</v>
      </c>
      <c r="BJ1" s="6" t="s">
        <v>162</v>
      </c>
      <c r="BK1" s="6" t="s">
        <v>164</v>
      </c>
      <c r="BL1" s="6" t="s">
        <v>166</v>
      </c>
      <c r="BM1" s="6" t="s">
        <v>168</v>
      </c>
      <c r="BN1" s="6" t="s">
        <v>170</v>
      </c>
      <c r="BO1" s="6" t="s">
        <v>172</v>
      </c>
      <c r="BP1" s="6" t="s">
        <v>174</v>
      </c>
      <c r="BQ1" s="6" t="s">
        <v>176</v>
      </c>
      <c r="BR1" s="6" t="s">
        <v>178</v>
      </c>
      <c r="BS1" s="6" t="s">
        <v>180</v>
      </c>
      <c r="BT1" s="6" t="s">
        <v>182</v>
      </c>
      <c r="BU1" s="6" t="s">
        <v>184</v>
      </c>
      <c r="BV1" s="6" t="s">
        <v>186</v>
      </c>
      <c r="BW1" s="6" t="s">
        <v>188</v>
      </c>
      <c r="BX1" s="6" t="s">
        <v>190</v>
      </c>
      <c r="BY1" s="6"/>
    </row>
    <row r="2">
      <c r="A2" s="6" t="str">
        <f t="array" ref="A2:A20">UNIQUE(Names!A3:A1000)</f>
        <v>1A</v>
      </c>
      <c r="B2" s="6">
        <f t="array" ref="B2:BX19">MAKEARRAY(Names!A2, Names!B2, LAMBDA(r, c, SUMIFS(Subjects!$D$3:$D1000, Subjects!$E$3:$E1000, OFFSET(B$1, 0, c-1), Subjects!$F$3:$F1000, OFFSET($A2, r-1, 0))))</f>
        <v>2</v>
      </c>
      <c r="C2" s="6">
        <v>0.0</v>
      </c>
      <c r="D2" s="6">
        <v>0.0</v>
      </c>
      <c r="E2" s="6">
        <v>0.0</v>
      </c>
      <c r="F2" s="6">
        <v>2.0</v>
      </c>
      <c r="G2" s="6">
        <v>0.0</v>
      </c>
      <c r="H2" s="6">
        <v>4.0</v>
      </c>
      <c r="I2" s="6">
        <v>0.0</v>
      </c>
      <c r="J2" s="6">
        <v>0.0</v>
      </c>
      <c r="K2" s="6">
        <v>0.0</v>
      </c>
      <c r="L2" s="6">
        <v>0.0</v>
      </c>
      <c r="M2" s="6">
        <v>2.0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4.0</v>
      </c>
      <c r="U2" s="6">
        <v>0.0</v>
      </c>
      <c r="V2" s="6">
        <v>0.0</v>
      </c>
      <c r="W2" s="6">
        <v>0.0</v>
      </c>
      <c r="X2" s="6">
        <v>0.0</v>
      </c>
      <c r="Y2" s="6">
        <v>0.0</v>
      </c>
      <c r="Z2" s="6">
        <v>0.0</v>
      </c>
      <c r="AA2" s="6">
        <v>0.0</v>
      </c>
      <c r="AB2" s="6">
        <v>0.0</v>
      </c>
      <c r="AC2" s="6">
        <v>0.0</v>
      </c>
      <c r="AD2" s="6">
        <v>4.0</v>
      </c>
      <c r="AE2" s="6">
        <v>0.0</v>
      </c>
      <c r="AF2" s="6">
        <v>0.0</v>
      </c>
      <c r="AG2" s="6">
        <v>0.0</v>
      </c>
      <c r="AH2" s="6">
        <v>0.0</v>
      </c>
      <c r="AI2" s="6">
        <v>0.0</v>
      </c>
      <c r="AJ2" s="6">
        <v>0.0</v>
      </c>
      <c r="AK2" s="6">
        <v>0.0</v>
      </c>
      <c r="AL2" s="6">
        <v>0.0</v>
      </c>
      <c r="AM2" s="6">
        <v>0.0</v>
      </c>
      <c r="AN2" s="6">
        <v>1.0</v>
      </c>
      <c r="AO2" s="6">
        <v>0.0</v>
      </c>
      <c r="AP2" s="6">
        <v>0.0</v>
      </c>
      <c r="AQ2" s="6">
        <v>0.0</v>
      </c>
      <c r="AR2" s="6">
        <v>4.0</v>
      </c>
      <c r="AS2" s="6">
        <v>2.0</v>
      </c>
      <c r="AT2" s="6">
        <v>0.0</v>
      </c>
      <c r="AU2" s="6">
        <v>0.0</v>
      </c>
      <c r="AV2" s="6">
        <v>0.0</v>
      </c>
      <c r="AW2" s="6">
        <v>0.0</v>
      </c>
      <c r="AX2" s="6">
        <v>0.0</v>
      </c>
      <c r="AY2" s="6">
        <v>0.0</v>
      </c>
      <c r="AZ2" s="6">
        <v>0.0</v>
      </c>
      <c r="BA2" s="6">
        <v>0.0</v>
      </c>
      <c r="BB2" s="6">
        <v>0.0</v>
      </c>
      <c r="BC2" s="6">
        <v>0.0</v>
      </c>
      <c r="BD2" s="6">
        <v>0.0</v>
      </c>
      <c r="BE2" s="6">
        <v>0.0</v>
      </c>
      <c r="BF2" s="6">
        <v>0.0</v>
      </c>
      <c r="BG2" s="6">
        <v>9.0</v>
      </c>
      <c r="BH2" s="6">
        <v>0.0</v>
      </c>
      <c r="BI2" s="6">
        <v>0.0</v>
      </c>
      <c r="BJ2" s="6">
        <v>0.0</v>
      </c>
      <c r="BK2" s="6">
        <v>0.0</v>
      </c>
      <c r="BL2" s="6">
        <v>0.0</v>
      </c>
      <c r="BM2" s="6">
        <v>0.0</v>
      </c>
      <c r="BN2" s="6">
        <v>0.0</v>
      </c>
      <c r="BO2" s="6">
        <v>0.0</v>
      </c>
      <c r="BP2" s="6">
        <v>0.0</v>
      </c>
      <c r="BQ2" s="6">
        <v>0.0</v>
      </c>
      <c r="BR2" s="6">
        <v>0.0</v>
      </c>
      <c r="BS2" s="6">
        <v>0.0</v>
      </c>
      <c r="BT2" s="6">
        <v>0.0</v>
      </c>
      <c r="BU2" s="6">
        <v>0.0</v>
      </c>
      <c r="BV2" s="6">
        <v>0.0</v>
      </c>
      <c r="BW2" s="6">
        <v>0.0</v>
      </c>
      <c r="BX2" s="6">
        <v>0.0</v>
      </c>
    </row>
    <row r="3">
      <c r="A3" s="6" t="s">
        <v>13</v>
      </c>
      <c r="B3" s="6">
        <v>2.0</v>
      </c>
      <c r="C3" s="6">
        <v>0.0</v>
      </c>
      <c r="D3" s="6">
        <v>0.0</v>
      </c>
      <c r="E3" s="6">
        <v>0.0</v>
      </c>
      <c r="F3" s="6">
        <v>0.0</v>
      </c>
      <c r="G3" s="6">
        <v>2.0</v>
      </c>
      <c r="H3" s="6">
        <v>4.0</v>
      </c>
      <c r="I3" s="6">
        <v>0.0</v>
      </c>
      <c r="J3" s="6">
        <v>0.0</v>
      </c>
      <c r="K3" s="6">
        <v>0.0</v>
      </c>
      <c r="L3" s="6">
        <v>0.0</v>
      </c>
      <c r="M3" s="6">
        <v>2.0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4.0</v>
      </c>
      <c r="U3" s="6">
        <v>0.0</v>
      </c>
      <c r="V3" s="6">
        <v>0.0</v>
      </c>
      <c r="W3" s="6">
        <v>2.0</v>
      </c>
      <c r="X3" s="6">
        <v>0.0</v>
      </c>
      <c r="Y3" s="6">
        <v>0.0</v>
      </c>
      <c r="Z3" s="6">
        <v>0.0</v>
      </c>
      <c r="AA3" s="6">
        <v>0.0</v>
      </c>
      <c r="AB3" s="6">
        <v>0.0</v>
      </c>
      <c r="AC3" s="6">
        <v>0.0</v>
      </c>
      <c r="AD3" s="6">
        <v>4.0</v>
      </c>
      <c r="AE3" s="6">
        <v>0.0</v>
      </c>
      <c r="AF3" s="6">
        <v>0.0</v>
      </c>
      <c r="AG3" s="6">
        <v>0.0</v>
      </c>
      <c r="AH3" s="6">
        <v>0.0</v>
      </c>
      <c r="AI3" s="6">
        <v>0.0</v>
      </c>
      <c r="AJ3" s="6">
        <v>0.0</v>
      </c>
      <c r="AK3" s="6">
        <v>0.0</v>
      </c>
      <c r="AL3" s="6">
        <v>0.0</v>
      </c>
      <c r="AM3" s="6">
        <v>0.0</v>
      </c>
      <c r="AN3" s="6">
        <v>1.0</v>
      </c>
      <c r="AO3" s="6">
        <v>0.0</v>
      </c>
      <c r="AP3" s="6">
        <v>0.0</v>
      </c>
      <c r="AQ3" s="6">
        <v>0.0</v>
      </c>
      <c r="AR3" s="6">
        <v>4.0</v>
      </c>
      <c r="AS3" s="6">
        <v>0.0</v>
      </c>
      <c r="AT3" s="6">
        <v>0.0</v>
      </c>
      <c r="AU3" s="6">
        <v>0.0</v>
      </c>
      <c r="AV3" s="6">
        <v>0.0</v>
      </c>
      <c r="AW3" s="6">
        <v>0.0</v>
      </c>
      <c r="AX3" s="6">
        <v>0.0</v>
      </c>
      <c r="AY3" s="6">
        <v>0.0</v>
      </c>
      <c r="AZ3" s="6">
        <v>0.0</v>
      </c>
      <c r="BA3" s="6">
        <v>0.0</v>
      </c>
      <c r="BB3" s="6">
        <v>0.0</v>
      </c>
      <c r="BC3" s="6">
        <v>0.0</v>
      </c>
      <c r="BD3" s="6">
        <v>0.0</v>
      </c>
      <c r="BE3" s="6">
        <v>0.0</v>
      </c>
      <c r="BF3" s="6">
        <v>0.0</v>
      </c>
      <c r="BG3" s="6">
        <v>0.0</v>
      </c>
      <c r="BH3" s="6">
        <v>9.0</v>
      </c>
      <c r="BI3" s="6">
        <v>0.0</v>
      </c>
      <c r="BJ3" s="6">
        <v>0.0</v>
      </c>
      <c r="BK3" s="6">
        <v>0.0</v>
      </c>
      <c r="BL3" s="6">
        <v>0.0</v>
      </c>
      <c r="BM3" s="6">
        <v>0.0</v>
      </c>
      <c r="BN3" s="6">
        <v>0.0</v>
      </c>
      <c r="BO3" s="6">
        <v>0.0</v>
      </c>
      <c r="BP3" s="6">
        <v>0.0</v>
      </c>
      <c r="BQ3" s="6">
        <v>0.0</v>
      </c>
      <c r="BR3" s="6">
        <v>0.0</v>
      </c>
      <c r="BS3" s="6">
        <v>0.0</v>
      </c>
      <c r="BT3" s="6">
        <v>0.0</v>
      </c>
      <c r="BU3" s="6">
        <v>0.0</v>
      </c>
      <c r="BV3" s="6">
        <v>0.0</v>
      </c>
      <c r="BW3" s="6">
        <v>0.0</v>
      </c>
      <c r="BX3" s="6">
        <v>0.0</v>
      </c>
    </row>
    <row r="4">
      <c r="A4" s="6" t="s">
        <v>18</v>
      </c>
      <c r="B4" s="6">
        <v>2.0</v>
      </c>
      <c r="C4" s="6">
        <v>0.0</v>
      </c>
      <c r="D4" s="6">
        <v>0.0</v>
      </c>
      <c r="E4" s="6">
        <v>0.0</v>
      </c>
      <c r="F4" s="6">
        <v>2.0</v>
      </c>
      <c r="G4" s="6">
        <v>0.0</v>
      </c>
      <c r="H4" s="6">
        <v>4.0</v>
      </c>
      <c r="I4" s="6">
        <v>0.0</v>
      </c>
      <c r="J4" s="6">
        <v>0.0</v>
      </c>
      <c r="K4" s="6">
        <v>0.0</v>
      </c>
      <c r="L4" s="6">
        <v>0.0</v>
      </c>
      <c r="M4" s="6">
        <v>2.0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4.0</v>
      </c>
      <c r="U4" s="6">
        <v>0.0</v>
      </c>
      <c r="V4" s="6">
        <v>0.0</v>
      </c>
      <c r="W4" s="6">
        <v>0.0</v>
      </c>
      <c r="X4" s="6">
        <v>0.0</v>
      </c>
      <c r="Y4" s="6">
        <v>0.0</v>
      </c>
      <c r="Z4" s="6">
        <v>0.0</v>
      </c>
      <c r="AA4" s="6">
        <v>0.0</v>
      </c>
      <c r="AB4" s="6">
        <v>0.0</v>
      </c>
      <c r="AC4" s="6">
        <v>0.0</v>
      </c>
      <c r="AD4" s="6">
        <v>4.0</v>
      </c>
      <c r="AE4" s="6">
        <v>0.0</v>
      </c>
      <c r="AF4" s="6">
        <v>0.0</v>
      </c>
      <c r="AG4" s="6">
        <v>0.0</v>
      </c>
      <c r="AH4" s="6">
        <v>0.0</v>
      </c>
      <c r="AI4" s="6">
        <v>0.0</v>
      </c>
      <c r="AJ4" s="6">
        <v>0.0</v>
      </c>
      <c r="AK4" s="6">
        <v>0.0</v>
      </c>
      <c r="AL4" s="6">
        <v>0.0</v>
      </c>
      <c r="AM4" s="6">
        <v>0.0</v>
      </c>
      <c r="AN4" s="6">
        <v>1.0</v>
      </c>
      <c r="AO4" s="6">
        <v>0.0</v>
      </c>
      <c r="AP4" s="6">
        <v>0.0</v>
      </c>
      <c r="AQ4" s="6">
        <v>0.0</v>
      </c>
      <c r="AR4" s="6">
        <v>4.0</v>
      </c>
      <c r="AS4" s="6">
        <v>2.0</v>
      </c>
      <c r="AT4" s="6">
        <v>0.0</v>
      </c>
      <c r="AU4" s="6">
        <v>0.0</v>
      </c>
      <c r="AV4" s="6">
        <v>0.0</v>
      </c>
      <c r="AW4" s="6">
        <v>0.0</v>
      </c>
      <c r="AX4" s="6">
        <v>0.0</v>
      </c>
      <c r="AY4" s="6">
        <v>0.0</v>
      </c>
      <c r="AZ4" s="6">
        <v>0.0</v>
      </c>
      <c r="BA4" s="6">
        <v>0.0</v>
      </c>
      <c r="BB4" s="6">
        <v>0.0</v>
      </c>
      <c r="BC4" s="6">
        <v>0.0</v>
      </c>
      <c r="BD4" s="6">
        <v>0.0</v>
      </c>
      <c r="BE4" s="6">
        <v>0.0</v>
      </c>
      <c r="BF4" s="6">
        <v>0.0</v>
      </c>
      <c r="BG4" s="6">
        <v>0.0</v>
      </c>
      <c r="BH4" s="6">
        <v>0.0</v>
      </c>
      <c r="BI4" s="6">
        <v>9.0</v>
      </c>
      <c r="BJ4" s="6">
        <v>0.0</v>
      </c>
      <c r="BK4" s="6">
        <v>0.0</v>
      </c>
      <c r="BL4" s="6">
        <v>0.0</v>
      </c>
      <c r="BM4" s="6">
        <v>0.0</v>
      </c>
      <c r="BN4" s="6">
        <v>0.0</v>
      </c>
      <c r="BO4" s="6">
        <v>0.0</v>
      </c>
      <c r="BP4" s="6">
        <v>0.0</v>
      </c>
      <c r="BQ4" s="6">
        <v>0.0</v>
      </c>
      <c r="BR4" s="6">
        <v>0.0</v>
      </c>
      <c r="BS4" s="6">
        <v>0.0</v>
      </c>
      <c r="BT4" s="6">
        <v>0.0</v>
      </c>
      <c r="BU4" s="6">
        <v>0.0</v>
      </c>
      <c r="BV4" s="6">
        <v>0.0</v>
      </c>
      <c r="BW4" s="6">
        <v>0.0</v>
      </c>
      <c r="BX4" s="6">
        <v>0.0</v>
      </c>
    </row>
    <row r="5">
      <c r="A5" s="6" t="s">
        <v>23</v>
      </c>
      <c r="B5" s="6">
        <v>0.0</v>
      </c>
      <c r="C5" s="6">
        <v>0.0</v>
      </c>
      <c r="D5" s="6">
        <v>0.0</v>
      </c>
      <c r="E5" s="6">
        <v>0.0</v>
      </c>
      <c r="F5" s="6">
        <v>2.0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2.0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6">
        <v>2.0</v>
      </c>
      <c r="V5" s="6">
        <v>0.0</v>
      </c>
      <c r="W5" s="6">
        <v>0.0</v>
      </c>
      <c r="X5" s="6">
        <v>0.0</v>
      </c>
      <c r="Y5" s="6">
        <v>0.0</v>
      </c>
      <c r="Z5" s="6">
        <v>0.0</v>
      </c>
      <c r="AA5" s="6">
        <v>2.0</v>
      </c>
      <c r="AB5" s="6">
        <v>0.0</v>
      </c>
      <c r="AC5" s="6">
        <v>0.0</v>
      </c>
      <c r="AD5" s="6">
        <v>4.0</v>
      </c>
      <c r="AE5" s="6">
        <v>0.0</v>
      </c>
      <c r="AF5" s="6">
        <v>0.0</v>
      </c>
      <c r="AG5" s="6">
        <v>0.0</v>
      </c>
      <c r="AH5" s="6">
        <v>2.0</v>
      </c>
      <c r="AI5" s="6">
        <v>0.0</v>
      </c>
      <c r="AJ5" s="6">
        <v>0.0</v>
      </c>
      <c r="AK5" s="6">
        <v>2.0</v>
      </c>
      <c r="AL5" s="6">
        <v>2.0</v>
      </c>
      <c r="AM5" s="6">
        <v>0.0</v>
      </c>
      <c r="AN5" s="6">
        <v>0.0</v>
      </c>
      <c r="AO5" s="6">
        <v>0.0</v>
      </c>
      <c r="AP5" s="6">
        <v>0.0</v>
      </c>
      <c r="AQ5" s="6">
        <v>2.0</v>
      </c>
      <c r="AR5" s="6">
        <v>4.0</v>
      </c>
      <c r="AS5" s="6">
        <v>2.0</v>
      </c>
      <c r="AT5" s="6">
        <v>0.0</v>
      </c>
      <c r="AU5" s="6">
        <v>0.0</v>
      </c>
      <c r="AV5" s="6">
        <v>0.0</v>
      </c>
      <c r="AW5" s="6">
        <v>0.0</v>
      </c>
      <c r="AX5" s="6">
        <v>0.0</v>
      </c>
      <c r="AY5" s="6">
        <v>0.0</v>
      </c>
      <c r="AZ5" s="6">
        <v>0.0</v>
      </c>
      <c r="BA5" s="6">
        <v>0.0</v>
      </c>
      <c r="BB5" s="6">
        <v>0.0</v>
      </c>
      <c r="BC5" s="6">
        <v>0.0</v>
      </c>
      <c r="BD5" s="6">
        <v>0.0</v>
      </c>
      <c r="BE5" s="6">
        <v>0.0</v>
      </c>
      <c r="BF5" s="6">
        <v>0.0</v>
      </c>
      <c r="BG5" s="6">
        <v>0.0</v>
      </c>
      <c r="BH5" s="6">
        <v>0.0</v>
      </c>
      <c r="BI5" s="6">
        <v>0.0</v>
      </c>
      <c r="BJ5" s="6">
        <v>8.0</v>
      </c>
      <c r="BK5" s="6">
        <v>0.0</v>
      </c>
      <c r="BL5" s="6">
        <v>0.0</v>
      </c>
      <c r="BM5" s="6">
        <v>0.0</v>
      </c>
      <c r="BN5" s="6">
        <v>0.0</v>
      </c>
      <c r="BO5" s="6">
        <v>0.0</v>
      </c>
      <c r="BP5" s="6">
        <v>0.0</v>
      </c>
      <c r="BQ5" s="6">
        <v>0.0</v>
      </c>
      <c r="BR5" s="6">
        <v>0.0</v>
      </c>
      <c r="BS5" s="6">
        <v>0.0</v>
      </c>
      <c r="BT5" s="6">
        <v>0.0</v>
      </c>
      <c r="BU5" s="6">
        <v>0.0</v>
      </c>
      <c r="BV5" s="6">
        <v>0.0</v>
      </c>
      <c r="BW5" s="6">
        <v>0.0</v>
      </c>
      <c r="BX5" s="6">
        <v>0.0</v>
      </c>
    </row>
    <row r="6">
      <c r="A6" s="6" t="s">
        <v>28</v>
      </c>
      <c r="B6" s="6">
        <v>2.0</v>
      </c>
      <c r="C6" s="6">
        <v>0.0</v>
      </c>
      <c r="D6" s="6">
        <v>0.0</v>
      </c>
      <c r="E6" s="6">
        <v>0.0</v>
      </c>
      <c r="F6" s="6">
        <v>2.0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2.0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  <c r="U6" s="6">
        <v>2.0</v>
      </c>
      <c r="V6" s="6">
        <v>2.0</v>
      </c>
      <c r="W6" s="6">
        <v>2.0</v>
      </c>
      <c r="X6" s="6">
        <v>0.0</v>
      </c>
      <c r="Y6" s="6">
        <v>0.0</v>
      </c>
      <c r="Z6" s="6">
        <v>0.0</v>
      </c>
      <c r="AA6" s="6">
        <v>2.0</v>
      </c>
      <c r="AB6" s="6">
        <v>0.0</v>
      </c>
      <c r="AC6" s="6">
        <v>0.0</v>
      </c>
      <c r="AD6" s="6">
        <v>4.0</v>
      </c>
      <c r="AE6" s="6">
        <v>0.0</v>
      </c>
      <c r="AF6" s="6">
        <v>0.0</v>
      </c>
      <c r="AG6" s="6">
        <v>0.0</v>
      </c>
      <c r="AH6" s="6">
        <v>2.0</v>
      </c>
      <c r="AI6" s="6">
        <v>0.0</v>
      </c>
      <c r="AJ6" s="6">
        <v>0.0</v>
      </c>
      <c r="AK6" s="6">
        <v>0.0</v>
      </c>
      <c r="AL6" s="6">
        <v>0.0</v>
      </c>
      <c r="AM6" s="6">
        <v>0.0</v>
      </c>
      <c r="AN6" s="6">
        <v>0.0</v>
      </c>
      <c r="AO6" s="6">
        <v>0.0</v>
      </c>
      <c r="AP6" s="6">
        <v>0.0</v>
      </c>
      <c r="AQ6" s="6">
        <v>2.0</v>
      </c>
      <c r="AR6" s="6">
        <v>4.0</v>
      </c>
      <c r="AS6" s="6">
        <v>0.0</v>
      </c>
      <c r="AT6" s="6">
        <v>0.0</v>
      </c>
      <c r="AU6" s="6">
        <v>0.0</v>
      </c>
      <c r="AV6" s="6">
        <v>0.0</v>
      </c>
      <c r="AW6" s="6">
        <v>0.0</v>
      </c>
      <c r="AX6" s="6">
        <v>0.0</v>
      </c>
      <c r="AY6" s="6">
        <v>0.0</v>
      </c>
      <c r="AZ6" s="6">
        <v>0.0</v>
      </c>
      <c r="BA6" s="6">
        <v>0.0</v>
      </c>
      <c r="BB6" s="6">
        <v>0.0</v>
      </c>
      <c r="BC6" s="6">
        <v>0.0</v>
      </c>
      <c r="BD6" s="6">
        <v>0.0</v>
      </c>
      <c r="BE6" s="6">
        <v>0.0</v>
      </c>
      <c r="BF6" s="6">
        <v>0.0</v>
      </c>
      <c r="BG6" s="6">
        <v>0.0</v>
      </c>
      <c r="BH6" s="6">
        <v>0.0</v>
      </c>
      <c r="BI6" s="6">
        <v>0.0</v>
      </c>
      <c r="BJ6" s="6">
        <v>0.0</v>
      </c>
      <c r="BK6" s="6">
        <v>8.0</v>
      </c>
      <c r="BL6" s="6">
        <v>0.0</v>
      </c>
      <c r="BM6" s="6">
        <v>0.0</v>
      </c>
      <c r="BN6" s="6">
        <v>0.0</v>
      </c>
      <c r="BO6" s="6">
        <v>0.0</v>
      </c>
      <c r="BP6" s="6">
        <v>0.0</v>
      </c>
      <c r="BQ6" s="6">
        <v>0.0</v>
      </c>
      <c r="BR6" s="6">
        <v>0.0</v>
      </c>
      <c r="BS6" s="6">
        <v>0.0</v>
      </c>
      <c r="BT6" s="6">
        <v>0.0</v>
      </c>
      <c r="BU6" s="6">
        <v>0.0</v>
      </c>
      <c r="BV6" s="6">
        <v>0.0</v>
      </c>
      <c r="BW6" s="6">
        <v>0.0</v>
      </c>
      <c r="BX6" s="6">
        <v>0.0</v>
      </c>
    </row>
    <row r="7">
      <c r="A7" s="6" t="s">
        <v>33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2.0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2.0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2.0</v>
      </c>
      <c r="U7" s="6">
        <v>0.0</v>
      </c>
      <c r="V7" s="6">
        <v>0.0</v>
      </c>
      <c r="W7" s="6">
        <v>0.0</v>
      </c>
      <c r="X7" s="6">
        <v>0.0</v>
      </c>
      <c r="Y7" s="6">
        <v>0.0</v>
      </c>
      <c r="Z7" s="6">
        <v>0.0</v>
      </c>
      <c r="AA7" s="6">
        <v>4.0</v>
      </c>
      <c r="AB7" s="6">
        <v>0.0</v>
      </c>
      <c r="AC7" s="6">
        <v>0.0</v>
      </c>
      <c r="AD7" s="6">
        <v>4.0</v>
      </c>
      <c r="AE7" s="6">
        <v>0.0</v>
      </c>
      <c r="AF7" s="6">
        <v>0.0</v>
      </c>
      <c r="AG7" s="6">
        <v>0.0</v>
      </c>
      <c r="AH7" s="6">
        <v>2.0</v>
      </c>
      <c r="AI7" s="6">
        <v>0.0</v>
      </c>
      <c r="AJ7" s="6">
        <v>2.0</v>
      </c>
      <c r="AK7" s="6">
        <v>2.0</v>
      </c>
      <c r="AL7" s="6">
        <v>0.0</v>
      </c>
      <c r="AM7" s="6">
        <v>0.0</v>
      </c>
      <c r="AN7" s="6">
        <v>0.0</v>
      </c>
      <c r="AO7" s="6">
        <v>0.0</v>
      </c>
      <c r="AP7" s="6">
        <v>0.0</v>
      </c>
      <c r="AQ7" s="6">
        <v>2.0</v>
      </c>
      <c r="AR7" s="6">
        <v>4.0</v>
      </c>
      <c r="AS7" s="6">
        <v>0.0</v>
      </c>
      <c r="AT7" s="6">
        <v>0.0</v>
      </c>
      <c r="AU7" s="6">
        <v>0.0</v>
      </c>
      <c r="AV7" s="6">
        <v>0.0</v>
      </c>
      <c r="AW7" s="6">
        <v>0.0</v>
      </c>
      <c r="AX7" s="6">
        <v>0.0</v>
      </c>
      <c r="AY7" s="6">
        <v>0.0</v>
      </c>
      <c r="AZ7" s="6">
        <v>0.0</v>
      </c>
      <c r="BA7" s="6">
        <v>0.0</v>
      </c>
      <c r="BB7" s="6">
        <v>0.0</v>
      </c>
      <c r="BC7" s="6">
        <v>0.0</v>
      </c>
      <c r="BD7" s="6">
        <v>0.0</v>
      </c>
      <c r="BE7" s="6">
        <v>0.0</v>
      </c>
      <c r="BF7" s="6">
        <v>0.0</v>
      </c>
      <c r="BG7" s="6">
        <v>0.0</v>
      </c>
      <c r="BH7" s="6">
        <v>0.0</v>
      </c>
      <c r="BI7" s="6">
        <v>0.0</v>
      </c>
      <c r="BJ7" s="6">
        <v>0.0</v>
      </c>
      <c r="BK7" s="6">
        <v>0.0</v>
      </c>
      <c r="BL7" s="6">
        <v>8.0</v>
      </c>
      <c r="BM7" s="6">
        <v>0.0</v>
      </c>
      <c r="BN7" s="6">
        <v>0.0</v>
      </c>
      <c r="BO7" s="6">
        <v>0.0</v>
      </c>
      <c r="BP7" s="6">
        <v>0.0</v>
      </c>
      <c r="BQ7" s="6">
        <v>0.0</v>
      </c>
      <c r="BR7" s="6">
        <v>0.0</v>
      </c>
      <c r="BS7" s="6">
        <v>0.0</v>
      </c>
      <c r="BT7" s="6">
        <v>0.0</v>
      </c>
      <c r="BU7" s="6">
        <v>0.0</v>
      </c>
      <c r="BV7" s="6">
        <v>0.0</v>
      </c>
      <c r="BW7" s="6">
        <v>0.0</v>
      </c>
      <c r="BX7" s="6">
        <v>0.0</v>
      </c>
    </row>
    <row r="8">
      <c r="A8" s="6" t="s">
        <v>37</v>
      </c>
      <c r="B8" s="6">
        <v>0.0</v>
      </c>
      <c r="C8" s="6">
        <v>0.0</v>
      </c>
      <c r="D8" s="6">
        <v>2.0</v>
      </c>
      <c r="E8" s="6">
        <v>0.0</v>
      </c>
      <c r="F8" s="6">
        <v>0.0</v>
      </c>
      <c r="G8" s="6">
        <v>0.0</v>
      </c>
      <c r="H8" s="6">
        <v>0.0</v>
      </c>
      <c r="I8" s="6">
        <v>4.0</v>
      </c>
      <c r="J8" s="6">
        <v>0.0</v>
      </c>
      <c r="K8" s="6">
        <v>0.0</v>
      </c>
      <c r="L8" s="6">
        <v>0.0</v>
      </c>
      <c r="M8" s="6">
        <v>0.0</v>
      </c>
      <c r="N8" s="6">
        <v>1.0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2.0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4.0</v>
      </c>
      <c r="AB8" s="6">
        <v>0.0</v>
      </c>
      <c r="AC8" s="6">
        <v>0.0</v>
      </c>
      <c r="AD8" s="6">
        <v>0.0</v>
      </c>
      <c r="AE8" s="6">
        <v>4.0</v>
      </c>
      <c r="AF8" s="6">
        <v>0.0</v>
      </c>
      <c r="AG8" s="6">
        <v>0.0</v>
      </c>
      <c r="AH8" s="6">
        <v>2.0</v>
      </c>
      <c r="AI8" s="6">
        <v>0.0</v>
      </c>
      <c r="AJ8" s="6">
        <v>0.0</v>
      </c>
      <c r="AK8" s="6">
        <v>0.0</v>
      </c>
      <c r="AL8" s="6">
        <v>0.0</v>
      </c>
      <c r="AM8" s="6">
        <v>0.0</v>
      </c>
      <c r="AN8" s="6">
        <v>0.0</v>
      </c>
      <c r="AO8" s="6">
        <v>2.0</v>
      </c>
      <c r="AP8" s="6">
        <v>0.0</v>
      </c>
      <c r="AQ8" s="6">
        <v>2.0</v>
      </c>
      <c r="AR8" s="6">
        <v>0.0</v>
      </c>
      <c r="AS8" s="6">
        <v>0.0</v>
      </c>
      <c r="AT8" s="6">
        <v>1.0</v>
      </c>
      <c r="AU8" s="6">
        <v>0.0</v>
      </c>
      <c r="AV8" s="6">
        <v>0.0</v>
      </c>
      <c r="AW8" s="6">
        <v>0.0</v>
      </c>
      <c r="AX8" s="6">
        <v>0.0</v>
      </c>
      <c r="AY8" s="6">
        <v>2.0</v>
      </c>
      <c r="AZ8" s="6">
        <v>0.0</v>
      </c>
      <c r="BA8" s="6">
        <v>0.0</v>
      </c>
      <c r="BB8" s="6">
        <v>0.0</v>
      </c>
      <c r="BC8" s="6">
        <v>0.0</v>
      </c>
      <c r="BD8" s="6">
        <v>0.0</v>
      </c>
      <c r="BE8" s="6">
        <v>0.0</v>
      </c>
      <c r="BF8" s="6">
        <v>0.0</v>
      </c>
      <c r="BG8" s="6">
        <v>0.0</v>
      </c>
      <c r="BH8" s="6">
        <v>0.0</v>
      </c>
      <c r="BI8" s="6">
        <v>0.0</v>
      </c>
      <c r="BJ8" s="6">
        <v>0.0</v>
      </c>
      <c r="BK8" s="6">
        <v>0.0</v>
      </c>
      <c r="BL8" s="6">
        <v>0.0</v>
      </c>
      <c r="BM8" s="6">
        <v>8.0</v>
      </c>
      <c r="BN8" s="6">
        <v>0.0</v>
      </c>
      <c r="BO8" s="6">
        <v>0.0</v>
      </c>
      <c r="BP8" s="6">
        <v>0.0</v>
      </c>
      <c r="BQ8" s="6">
        <v>0.0</v>
      </c>
      <c r="BR8" s="6">
        <v>0.0</v>
      </c>
      <c r="BS8" s="6">
        <v>0.0</v>
      </c>
      <c r="BT8" s="6">
        <v>0.0</v>
      </c>
      <c r="BU8" s="6">
        <v>0.0</v>
      </c>
      <c r="BV8" s="6">
        <v>0.0</v>
      </c>
      <c r="BW8" s="6">
        <v>0.0</v>
      </c>
      <c r="BX8" s="6">
        <v>0.0</v>
      </c>
    </row>
    <row r="9">
      <c r="A9" s="6" t="s">
        <v>41</v>
      </c>
      <c r="B9" s="6">
        <v>0.0</v>
      </c>
      <c r="C9" s="6">
        <v>0.0</v>
      </c>
      <c r="D9" s="6">
        <v>2.0</v>
      </c>
      <c r="E9" s="6">
        <v>0.0</v>
      </c>
      <c r="F9" s="6">
        <v>0.0</v>
      </c>
      <c r="G9" s="6">
        <v>0.0</v>
      </c>
      <c r="H9" s="6">
        <v>0.0</v>
      </c>
      <c r="I9" s="6">
        <v>4.0</v>
      </c>
      <c r="J9" s="6">
        <v>0.0</v>
      </c>
      <c r="K9" s="6">
        <v>0.0</v>
      </c>
      <c r="L9" s="6">
        <v>0.0</v>
      </c>
      <c r="M9" s="6">
        <v>0.0</v>
      </c>
      <c r="N9" s="6">
        <v>1.0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0.0</v>
      </c>
      <c r="W9" s="6">
        <v>0.0</v>
      </c>
      <c r="X9" s="6">
        <v>0.0</v>
      </c>
      <c r="Y9" s="6">
        <v>0.0</v>
      </c>
      <c r="Z9" s="6">
        <v>0.0</v>
      </c>
      <c r="AA9" s="6">
        <v>4.0</v>
      </c>
      <c r="AB9" s="6">
        <v>0.0</v>
      </c>
      <c r="AC9" s="6">
        <v>0.0</v>
      </c>
      <c r="AD9" s="6">
        <v>0.0</v>
      </c>
      <c r="AE9" s="6">
        <v>4.0</v>
      </c>
      <c r="AF9" s="6">
        <v>0.0</v>
      </c>
      <c r="AG9" s="6">
        <v>0.0</v>
      </c>
      <c r="AH9" s="6">
        <v>2.0</v>
      </c>
      <c r="AI9" s="6">
        <v>0.0</v>
      </c>
      <c r="AJ9" s="6">
        <v>0.0</v>
      </c>
      <c r="AK9" s="6">
        <v>0.0</v>
      </c>
      <c r="AL9" s="6">
        <v>2.0</v>
      </c>
      <c r="AM9" s="6">
        <v>0.0</v>
      </c>
      <c r="AN9" s="6">
        <v>0.0</v>
      </c>
      <c r="AO9" s="6">
        <v>2.0</v>
      </c>
      <c r="AP9" s="6">
        <v>0.0</v>
      </c>
      <c r="AQ9" s="6">
        <v>2.0</v>
      </c>
      <c r="AR9" s="6">
        <v>0.0</v>
      </c>
      <c r="AS9" s="6">
        <v>0.0</v>
      </c>
      <c r="AT9" s="6">
        <v>1.0</v>
      </c>
      <c r="AU9" s="6">
        <v>0.0</v>
      </c>
      <c r="AV9" s="6">
        <v>0.0</v>
      </c>
      <c r="AW9" s="6">
        <v>0.0</v>
      </c>
      <c r="AX9" s="6">
        <v>0.0</v>
      </c>
      <c r="AY9" s="6">
        <v>2.0</v>
      </c>
      <c r="AZ9" s="6">
        <v>0.0</v>
      </c>
      <c r="BA9" s="6">
        <v>0.0</v>
      </c>
      <c r="BB9" s="6">
        <v>0.0</v>
      </c>
      <c r="BC9" s="6">
        <v>0.0</v>
      </c>
      <c r="BD9" s="6">
        <v>0.0</v>
      </c>
      <c r="BE9" s="6">
        <v>0.0</v>
      </c>
      <c r="BF9" s="6">
        <v>0.0</v>
      </c>
      <c r="BG9" s="6">
        <v>0.0</v>
      </c>
      <c r="BH9" s="6">
        <v>0.0</v>
      </c>
      <c r="BI9" s="6">
        <v>0.0</v>
      </c>
      <c r="BJ9" s="6">
        <v>0.0</v>
      </c>
      <c r="BK9" s="6">
        <v>0.0</v>
      </c>
      <c r="BL9" s="6">
        <v>0.0</v>
      </c>
      <c r="BM9" s="6">
        <v>0.0</v>
      </c>
      <c r="BN9" s="6">
        <v>8.0</v>
      </c>
      <c r="BO9" s="6">
        <v>0.0</v>
      </c>
      <c r="BP9" s="6">
        <v>0.0</v>
      </c>
      <c r="BQ9" s="6">
        <v>0.0</v>
      </c>
      <c r="BR9" s="6">
        <v>0.0</v>
      </c>
      <c r="BS9" s="6">
        <v>0.0</v>
      </c>
      <c r="BT9" s="6">
        <v>0.0</v>
      </c>
      <c r="BU9" s="6">
        <v>0.0</v>
      </c>
      <c r="BV9" s="6">
        <v>0.0</v>
      </c>
      <c r="BW9" s="6">
        <v>0.0</v>
      </c>
      <c r="BX9" s="6">
        <v>0.0</v>
      </c>
    </row>
    <row r="10">
      <c r="A10" s="6" t="s">
        <v>45</v>
      </c>
      <c r="B10" s="6">
        <v>0.0</v>
      </c>
      <c r="C10" s="6">
        <v>0.0</v>
      </c>
      <c r="D10" s="6">
        <v>2.0</v>
      </c>
      <c r="E10" s="6">
        <v>0.0</v>
      </c>
      <c r="F10" s="6">
        <v>0.0</v>
      </c>
      <c r="G10" s="6">
        <v>0.0</v>
      </c>
      <c r="H10" s="6">
        <v>0.0</v>
      </c>
      <c r="I10" s="6">
        <v>4.0</v>
      </c>
      <c r="J10" s="6">
        <v>0.0</v>
      </c>
      <c r="K10" s="6">
        <v>0.0</v>
      </c>
      <c r="L10" s="6">
        <v>0.0</v>
      </c>
      <c r="M10" s="6">
        <v>0.0</v>
      </c>
      <c r="N10" s="6">
        <v>1.0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0.0</v>
      </c>
      <c r="W10" s="6">
        <v>0.0</v>
      </c>
      <c r="X10" s="6">
        <v>0.0</v>
      </c>
      <c r="Y10" s="6">
        <v>0.0</v>
      </c>
      <c r="Z10" s="6">
        <v>0.0</v>
      </c>
      <c r="AA10" s="6">
        <v>4.0</v>
      </c>
      <c r="AB10" s="6">
        <v>0.0</v>
      </c>
      <c r="AC10" s="6">
        <v>0.0</v>
      </c>
      <c r="AD10" s="6">
        <v>0.0</v>
      </c>
      <c r="AE10" s="6">
        <v>4.0</v>
      </c>
      <c r="AF10" s="6">
        <v>0.0</v>
      </c>
      <c r="AG10" s="6">
        <v>0.0</v>
      </c>
      <c r="AH10" s="6">
        <v>2.0</v>
      </c>
      <c r="AI10" s="6">
        <v>0.0</v>
      </c>
      <c r="AJ10" s="6">
        <v>0.0</v>
      </c>
      <c r="AK10" s="6">
        <v>0.0</v>
      </c>
      <c r="AL10" s="6">
        <v>2.0</v>
      </c>
      <c r="AM10" s="6">
        <v>0.0</v>
      </c>
      <c r="AN10" s="6">
        <v>0.0</v>
      </c>
      <c r="AO10" s="6">
        <v>0.0</v>
      </c>
      <c r="AP10" s="6">
        <v>0.0</v>
      </c>
      <c r="AQ10" s="6">
        <v>4.0</v>
      </c>
      <c r="AR10" s="6">
        <v>0.0</v>
      </c>
      <c r="AS10" s="6">
        <v>0.0</v>
      </c>
      <c r="AT10" s="6">
        <v>1.0</v>
      </c>
      <c r="AU10" s="6">
        <v>0.0</v>
      </c>
      <c r="AV10" s="6">
        <v>0.0</v>
      </c>
      <c r="AW10" s="6">
        <v>0.0</v>
      </c>
      <c r="AX10" s="6">
        <v>0.0</v>
      </c>
      <c r="AY10" s="6">
        <v>2.0</v>
      </c>
      <c r="AZ10" s="6">
        <v>0.0</v>
      </c>
      <c r="BA10" s="6">
        <v>0.0</v>
      </c>
      <c r="BB10" s="6">
        <v>0.0</v>
      </c>
      <c r="BC10" s="6">
        <v>0.0</v>
      </c>
      <c r="BD10" s="6">
        <v>0.0</v>
      </c>
      <c r="BE10" s="6">
        <v>0.0</v>
      </c>
      <c r="BF10" s="6">
        <v>0.0</v>
      </c>
      <c r="BG10" s="6">
        <v>0.0</v>
      </c>
      <c r="BH10" s="6">
        <v>0.0</v>
      </c>
      <c r="BI10" s="6">
        <v>0.0</v>
      </c>
      <c r="BJ10" s="6">
        <v>0.0</v>
      </c>
      <c r="BK10" s="6">
        <v>0.0</v>
      </c>
      <c r="BL10" s="6">
        <v>0.0</v>
      </c>
      <c r="BM10" s="6">
        <v>0.0</v>
      </c>
      <c r="BN10" s="6">
        <v>0.0</v>
      </c>
      <c r="BO10" s="6">
        <v>8.0</v>
      </c>
      <c r="BP10" s="6">
        <v>0.0</v>
      </c>
      <c r="BQ10" s="6">
        <v>0.0</v>
      </c>
      <c r="BR10" s="6">
        <v>0.0</v>
      </c>
      <c r="BS10" s="6">
        <v>0.0</v>
      </c>
      <c r="BT10" s="6">
        <v>0.0</v>
      </c>
      <c r="BU10" s="6">
        <v>0.0</v>
      </c>
      <c r="BV10" s="6">
        <v>0.0</v>
      </c>
      <c r="BW10" s="6">
        <v>0.0</v>
      </c>
      <c r="BX10" s="6">
        <v>0.0</v>
      </c>
    </row>
    <row r="11">
      <c r="A11" s="6" t="s">
        <v>48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2.0</v>
      </c>
      <c r="H11" s="6">
        <v>2.0</v>
      </c>
      <c r="I11" s="6">
        <v>0.0</v>
      </c>
      <c r="J11" s="6">
        <v>3.0</v>
      </c>
      <c r="K11" s="6">
        <v>0.0</v>
      </c>
      <c r="L11" s="6">
        <v>0.0</v>
      </c>
      <c r="M11" s="6">
        <v>2.0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3.0</v>
      </c>
      <c r="U11" s="6">
        <v>0.0</v>
      </c>
      <c r="V11" s="6">
        <v>0.0</v>
      </c>
      <c r="W11" s="6">
        <v>0.0</v>
      </c>
      <c r="X11" s="6">
        <v>0.0</v>
      </c>
      <c r="Y11" s="6">
        <v>0.0</v>
      </c>
      <c r="Z11" s="6">
        <v>0.0</v>
      </c>
      <c r="AA11" s="6">
        <v>0.0</v>
      </c>
      <c r="AB11" s="6">
        <v>0.0</v>
      </c>
      <c r="AC11" s="6">
        <v>0.0</v>
      </c>
      <c r="AD11" s="6">
        <v>0.0</v>
      </c>
      <c r="AE11" s="6">
        <v>0.0</v>
      </c>
      <c r="AF11" s="6">
        <v>3.0</v>
      </c>
      <c r="AG11" s="6">
        <v>0.0</v>
      </c>
      <c r="AH11" s="6">
        <v>0.0</v>
      </c>
      <c r="AI11" s="6">
        <v>0.0</v>
      </c>
      <c r="AJ11" s="6">
        <v>0.0</v>
      </c>
      <c r="AK11" s="6">
        <v>0.0</v>
      </c>
      <c r="AL11" s="6">
        <v>0.0</v>
      </c>
      <c r="AM11" s="6">
        <v>3.0</v>
      </c>
      <c r="AN11" s="6">
        <v>0.0</v>
      </c>
      <c r="AO11" s="6">
        <v>2.0</v>
      </c>
      <c r="AP11" s="6">
        <v>3.0</v>
      </c>
      <c r="AQ11" s="6">
        <v>0.0</v>
      </c>
      <c r="AR11" s="6">
        <v>0.0</v>
      </c>
      <c r="AS11" s="6">
        <v>0.0</v>
      </c>
      <c r="AT11" s="6">
        <v>0.0</v>
      </c>
      <c r="AU11" s="6">
        <v>0.0</v>
      </c>
      <c r="AV11" s="6">
        <v>0.0</v>
      </c>
      <c r="AW11" s="6">
        <v>0.0</v>
      </c>
      <c r="AX11" s="6">
        <v>1.0</v>
      </c>
      <c r="AY11" s="6">
        <v>0.0</v>
      </c>
      <c r="AZ11" s="6">
        <v>4.0</v>
      </c>
      <c r="BA11" s="6">
        <v>0.0</v>
      </c>
      <c r="BB11" s="6">
        <v>0.0</v>
      </c>
      <c r="BC11" s="6">
        <v>0.0</v>
      </c>
      <c r="BD11" s="6">
        <v>0.0</v>
      </c>
      <c r="BE11" s="6">
        <v>0.0</v>
      </c>
      <c r="BF11" s="6">
        <v>0.0</v>
      </c>
      <c r="BG11" s="6">
        <v>0.0</v>
      </c>
      <c r="BH11" s="6">
        <v>0.0</v>
      </c>
      <c r="BI11" s="6">
        <v>0.0</v>
      </c>
      <c r="BJ11" s="6">
        <v>0.0</v>
      </c>
      <c r="BK11" s="6">
        <v>0.0</v>
      </c>
      <c r="BL11" s="6">
        <v>0.0</v>
      </c>
      <c r="BM11" s="6">
        <v>0.0</v>
      </c>
      <c r="BN11" s="6">
        <v>0.0</v>
      </c>
      <c r="BO11" s="6">
        <v>0.0</v>
      </c>
      <c r="BP11" s="6">
        <v>5.0</v>
      </c>
      <c r="BQ11" s="6">
        <v>0.0</v>
      </c>
      <c r="BR11" s="6">
        <v>0.0</v>
      </c>
      <c r="BS11" s="6">
        <v>0.0</v>
      </c>
      <c r="BT11" s="6">
        <v>0.0</v>
      </c>
      <c r="BU11" s="6">
        <v>0.0</v>
      </c>
      <c r="BV11" s="6">
        <v>0.0</v>
      </c>
      <c r="BW11" s="6">
        <v>0.0</v>
      </c>
      <c r="BX11" s="6">
        <v>0.0</v>
      </c>
    </row>
    <row r="12">
      <c r="A12" s="6" t="s">
        <v>51</v>
      </c>
      <c r="B12" s="6">
        <v>0.0</v>
      </c>
      <c r="C12" s="6">
        <v>0.0</v>
      </c>
      <c r="D12" s="6">
        <v>2.0</v>
      </c>
      <c r="E12" s="6">
        <v>0.0</v>
      </c>
      <c r="F12" s="6">
        <v>0.0</v>
      </c>
      <c r="G12" s="6">
        <v>0.0</v>
      </c>
      <c r="H12" s="6">
        <v>2.0</v>
      </c>
      <c r="I12" s="6">
        <v>0.0</v>
      </c>
      <c r="J12" s="6">
        <v>3.0</v>
      </c>
      <c r="K12" s="6">
        <v>0.0</v>
      </c>
      <c r="L12" s="6">
        <v>0.0</v>
      </c>
      <c r="M12" s="6">
        <v>2.0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3.0</v>
      </c>
      <c r="U12" s="6">
        <v>0.0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0.0</v>
      </c>
      <c r="AE12" s="6">
        <v>0.0</v>
      </c>
      <c r="AF12" s="6">
        <v>3.0</v>
      </c>
      <c r="AG12" s="6">
        <v>0.0</v>
      </c>
      <c r="AH12" s="6">
        <v>0.0</v>
      </c>
      <c r="AI12" s="6">
        <v>0.0</v>
      </c>
      <c r="AJ12" s="6">
        <v>0.0</v>
      </c>
      <c r="AK12" s="6">
        <v>0.0</v>
      </c>
      <c r="AL12" s="6">
        <v>0.0</v>
      </c>
      <c r="AM12" s="6">
        <v>3.0</v>
      </c>
      <c r="AN12" s="6">
        <v>0.0</v>
      </c>
      <c r="AO12" s="6">
        <v>2.0</v>
      </c>
      <c r="AP12" s="6">
        <v>3.0</v>
      </c>
      <c r="AQ12" s="6">
        <v>0.0</v>
      </c>
      <c r="AR12" s="6">
        <v>0.0</v>
      </c>
      <c r="AS12" s="6">
        <v>0.0</v>
      </c>
      <c r="AT12" s="6">
        <v>0.0</v>
      </c>
      <c r="AU12" s="6">
        <v>0.0</v>
      </c>
      <c r="AV12" s="6">
        <v>2.0</v>
      </c>
      <c r="AW12" s="6">
        <v>0.0</v>
      </c>
      <c r="AX12" s="6">
        <v>1.0</v>
      </c>
      <c r="AY12" s="6">
        <v>0.0</v>
      </c>
      <c r="AZ12" s="6">
        <v>0.0</v>
      </c>
      <c r="BA12" s="6">
        <v>0.0</v>
      </c>
      <c r="BB12" s="6">
        <v>0.0</v>
      </c>
      <c r="BC12" s="6">
        <v>0.0</v>
      </c>
      <c r="BD12" s="6">
        <v>0.0</v>
      </c>
      <c r="BE12" s="6">
        <v>0.0</v>
      </c>
      <c r="BF12" s="6">
        <v>0.0</v>
      </c>
      <c r="BG12" s="6">
        <v>0.0</v>
      </c>
      <c r="BH12" s="6">
        <v>0.0</v>
      </c>
      <c r="BI12" s="6">
        <v>0.0</v>
      </c>
      <c r="BJ12" s="6">
        <v>0.0</v>
      </c>
      <c r="BK12" s="6">
        <v>0.0</v>
      </c>
      <c r="BL12" s="6">
        <v>0.0</v>
      </c>
      <c r="BM12" s="6">
        <v>0.0</v>
      </c>
      <c r="BN12" s="6">
        <v>0.0</v>
      </c>
      <c r="BO12" s="6">
        <v>0.0</v>
      </c>
      <c r="BP12" s="6">
        <v>0.0</v>
      </c>
      <c r="BQ12" s="6">
        <v>5.0</v>
      </c>
      <c r="BR12" s="6">
        <v>0.0</v>
      </c>
      <c r="BS12" s="6">
        <v>0.0</v>
      </c>
      <c r="BT12" s="6">
        <v>0.0</v>
      </c>
      <c r="BU12" s="6">
        <v>0.0</v>
      </c>
      <c r="BV12" s="6">
        <v>0.0</v>
      </c>
      <c r="BW12" s="6">
        <v>0.0</v>
      </c>
      <c r="BX12" s="6">
        <v>0.0</v>
      </c>
    </row>
    <row r="13">
      <c r="A13" s="6" t="s">
        <v>54</v>
      </c>
      <c r="B13" s="6">
        <v>0.0</v>
      </c>
      <c r="C13" s="6">
        <v>0.0</v>
      </c>
      <c r="D13" s="6">
        <v>2.0</v>
      </c>
      <c r="E13" s="6">
        <v>0.0</v>
      </c>
      <c r="F13" s="6">
        <v>0.0</v>
      </c>
      <c r="G13" s="6">
        <v>0.0</v>
      </c>
      <c r="H13" s="6">
        <v>2.0</v>
      </c>
      <c r="I13" s="6">
        <v>0.0</v>
      </c>
      <c r="J13" s="6">
        <v>3.0</v>
      </c>
      <c r="K13" s="6">
        <v>0.0</v>
      </c>
      <c r="L13" s="6">
        <v>0.0</v>
      </c>
      <c r="M13" s="6">
        <v>2.0</v>
      </c>
      <c r="N13" s="6">
        <v>0.0</v>
      </c>
      <c r="O13" s="6">
        <v>0.0</v>
      </c>
      <c r="P13" s="6">
        <v>0.0</v>
      </c>
      <c r="Q13" s="6">
        <v>3.0</v>
      </c>
      <c r="R13" s="6">
        <v>0.0</v>
      </c>
      <c r="S13" s="6">
        <v>0.0</v>
      </c>
      <c r="T13" s="6">
        <v>3.0</v>
      </c>
      <c r="U13" s="6">
        <v>0.0</v>
      </c>
      <c r="V13" s="6">
        <v>0.0</v>
      </c>
      <c r="W13" s="6">
        <v>0.0</v>
      </c>
      <c r="X13" s="6">
        <v>0.0</v>
      </c>
      <c r="Y13" s="6">
        <v>0.0</v>
      </c>
      <c r="Z13" s="6">
        <v>0.0</v>
      </c>
      <c r="AA13" s="6">
        <v>0.0</v>
      </c>
      <c r="AB13" s="6">
        <v>0.0</v>
      </c>
      <c r="AC13" s="6">
        <v>0.0</v>
      </c>
      <c r="AD13" s="6">
        <v>0.0</v>
      </c>
      <c r="AE13" s="6">
        <v>0.0</v>
      </c>
      <c r="AF13" s="6">
        <v>2.0</v>
      </c>
      <c r="AG13" s="6">
        <v>0.0</v>
      </c>
      <c r="AH13" s="6">
        <v>0.0</v>
      </c>
      <c r="AI13" s="6">
        <v>0.0</v>
      </c>
      <c r="AJ13" s="6">
        <v>0.0</v>
      </c>
      <c r="AK13" s="6">
        <v>0.0</v>
      </c>
      <c r="AL13" s="6">
        <v>0.0</v>
      </c>
      <c r="AM13" s="6">
        <v>3.0</v>
      </c>
      <c r="AN13" s="6">
        <v>0.0</v>
      </c>
      <c r="AO13" s="6">
        <v>2.0</v>
      </c>
      <c r="AP13" s="6">
        <v>0.0</v>
      </c>
      <c r="AQ13" s="6">
        <v>0.0</v>
      </c>
      <c r="AR13" s="6">
        <v>3.0</v>
      </c>
      <c r="AS13" s="6">
        <v>0.0</v>
      </c>
      <c r="AT13" s="6">
        <v>0.0</v>
      </c>
      <c r="AU13" s="6">
        <v>0.0</v>
      </c>
      <c r="AV13" s="6">
        <v>0.0</v>
      </c>
      <c r="AW13" s="6">
        <v>0.0</v>
      </c>
      <c r="AX13" s="6">
        <v>1.0</v>
      </c>
      <c r="AY13" s="6">
        <v>0.0</v>
      </c>
      <c r="AZ13" s="6">
        <v>0.0</v>
      </c>
      <c r="BA13" s="6">
        <v>0.0</v>
      </c>
      <c r="BB13" s="6">
        <v>0.0</v>
      </c>
      <c r="BC13" s="6">
        <v>0.0</v>
      </c>
      <c r="BD13" s="6">
        <v>0.0</v>
      </c>
      <c r="BE13" s="6">
        <v>0.0</v>
      </c>
      <c r="BF13" s="6">
        <v>0.0</v>
      </c>
      <c r="BG13" s="6">
        <v>0.0</v>
      </c>
      <c r="BH13" s="6">
        <v>0.0</v>
      </c>
      <c r="BI13" s="6">
        <v>0.0</v>
      </c>
      <c r="BJ13" s="6">
        <v>0.0</v>
      </c>
      <c r="BK13" s="6">
        <v>0.0</v>
      </c>
      <c r="BL13" s="6">
        <v>0.0</v>
      </c>
      <c r="BM13" s="6">
        <v>0.0</v>
      </c>
      <c r="BN13" s="6">
        <v>0.0</v>
      </c>
      <c r="BO13" s="6">
        <v>0.0</v>
      </c>
      <c r="BP13" s="6">
        <v>0.0</v>
      </c>
      <c r="BQ13" s="6">
        <v>0.0</v>
      </c>
      <c r="BR13" s="6">
        <v>5.0</v>
      </c>
      <c r="BS13" s="6">
        <v>0.0</v>
      </c>
      <c r="BT13" s="6">
        <v>0.0</v>
      </c>
      <c r="BU13" s="6">
        <v>0.0</v>
      </c>
      <c r="BV13" s="6">
        <v>0.0</v>
      </c>
      <c r="BW13" s="6">
        <v>0.0</v>
      </c>
      <c r="BX13" s="6">
        <v>0.0</v>
      </c>
    </row>
    <row r="14">
      <c r="A14" s="6" t="s">
        <v>57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2.0</v>
      </c>
      <c r="K14" s="6">
        <v>3.0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3.0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  <c r="W14" s="6">
        <v>0.0</v>
      </c>
      <c r="X14" s="6">
        <v>0.0</v>
      </c>
      <c r="Y14" s="6">
        <v>0.0</v>
      </c>
      <c r="Z14" s="6">
        <v>0.0</v>
      </c>
      <c r="AA14" s="6">
        <v>0.0</v>
      </c>
      <c r="AB14" s="6">
        <v>0.0</v>
      </c>
      <c r="AC14" s="6">
        <v>0.0</v>
      </c>
      <c r="AD14" s="6">
        <v>0.0</v>
      </c>
      <c r="AE14" s="6">
        <v>2.0</v>
      </c>
      <c r="AF14" s="6">
        <v>2.0</v>
      </c>
      <c r="AG14" s="6">
        <v>0.0</v>
      </c>
      <c r="AH14" s="6">
        <v>0.0</v>
      </c>
      <c r="AI14" s="6">
        <v>0.0</v>
      </c>
      <c r="AJ14" s="6">
        <v>0.0</v>
      </c>
      <c r="AK14" s="6">
        <v>0.0</v>
      </c>
      <c r="AL14" s="6">
        <v>2.0</v>
      </c>
      <c r="AM14" s="6">
        <v>0.0</v>
      </c>
      <c r="AN14" s="6">
        <v>0.0</v>
      </c>
      <c r="AO14" s="6">
        <v>2.0</v>
      </c>
      <c r="AP14" s="6">
        <v>0.0</v>
      </c>
      <c r="AQ14" s="6">
        <v>0.0</v>
      </c>
      <c r="AR14" s="6">
        <v>0.0</v>
      </c>
      <c r="AS14" s="6">
        <v>0.0</v>
      </c>
      <c r="AT14" s="6">
        <v>0.0</v>
      </c>
      <c r="AU14" s="6">
        <v>0.0</v>
      </c>
      <c r="AV14" s="6">
        <v>0.0</v>
      </c>
      <c r="AW14" s="6">
        <v>0.0</v>
      </c>
      <c r="AX14" s="6">
        <v>0.0</v>
      </c>
      <c r="AY14" s="6">
        <v>4.0</v>
      </c>
      <c r="AZ14" s="6">
        <v>8.0</v>
      </c>
      <c r="BA14" s="6">
        <v>0.0</v>
      </c>
      <c r="BB14" s="6">
        <v>0.0</v>
      </c>
      <c r="BC14" s="6">
        <v>0.0</v>
      </c>
      <c r="BD14" s="6">
        <v>0.0</v>
      </c>
      <c r="BE14" s="6">
        <v>0.0</v>
      </c>
      <c r="BF14" s="6">
        <v>2.0</v>
      </c>
      <c r="BG14" s="6">
        <v>0.0</v>
      </c>
      <c r="BH14" s="6">
        <v>0.0</v>
      </c>
      <c r="BI14" s="6">
        <v>0.0</v>
      </c>
      <c r="BJ14" s="6">
        <v>0.0</v>
      </c>
      <c r="BK14" s="6">
        <v>0.0</v>
      </c>
      <c r="BL14" s="6">
        <v>0.0</v>
      </c>
      <c r="BM14" s="6">
        <v>0.0</v>
      </c>
      <c r="BN14" s="6">
        <v>0.0</v>
      </c>
      <c r="BO14" s="6">
        <v>0.0</v>
      </c>
      <c r="BP14" s="6">
        <v>0.0</v>
      </c>
      <c r="BQ14" s="6">
        <v>0.0</v>
      </c>
      <c r="BR14" s="6">
        <v>0.0</v>
      </c>
      <c r="BS14" s="6">
        <v>4.0</v>
      </c>
      <c r="BT14" s="6">
        <v>0.0</v>
      </c>
      <c r="BU14" s="6">
        <v>0.0</v>
      </c>
      <c r="BV14" s="6">
        <v>0.0</v>
      </c>
      <c r="BW14" s="6">
        <v>0.0</v>
      </c>
      <c r="BX14" s="6">
        <v>0.0</v>
      </c>
    </row>
    <row r="15">
      <c r="A15" s="6" t="s">
        <v>60</v>
      </c>
      <c r="B15" s="6">
        <v>0.0</v>
      </c>
      <c r="C15" s="6">
        <v>0.0</v>
      </c>
      <c r="D15" s="6">
        <v>0.0</v>
      </c>
      <c r="E15" s="6">
        <v>2.0</v>
      </c>
      <c r="F15" s="6">
        <v>0.0</v>
      </c>
      <c r="G15" s="6">
        <v>0.0</v>
      </c>
      <c r="H15" s="6">
        <v>0.0</v>
      </c>
      <c r="I15" s="6">
        <v>0.0</v>
      </c>
      <c r="J15" s="6">
        <v>2.0</v>
      </c>
      <c r="K15" s="6">
        <v>1.0</v>
      </c>
      <c r="L15" s="6">
        <v>0.0</v>
      </c>
      <c r="M15" s="6">
        <v>0.0</v>
      </c>
      <c r="N15" s="6">
        <v>0.0</v>
      </c>
      <c r="O15" s="6">
        <v>2.0</v>
      </c>
      <c r="P15" s="6">
        <v>0.0</v>
      </c>
      <c r="Q15" s="6">
        <v>3.0</v>
      </c>
      <c r="R15" s="6">
        <v>0.0</v>
      </c>
      <c r="S15" s="6">
        <v>0.0</v>
      </c>
      <c r="T15" s="6">
        <v>0.0</v>
      </c>
      <c r="U15" s="6">
        <v>0.0</v>
      </c>
      <c r="V15" s="6">
        <v>5.0</v>
      </c>
      <c r="W15" s="6">
        <v>0.0</v>
      </c>
      <c r="X15" s="6">
        <v>0.0</v>
      </c>
      <c r="Y15" s="6">
        <v>0.0</v>
      </c>
      <c r="Z15" s="6">
        <v>0.0</v>
      </c>
      <c r="AA15" s="6">
        <v>0.0</v>
      </c>
      <c r="AB15" s="6">
        <v>0.0</v>
      </c>
      <c r="AC15" s="6">
        <v>0.0</v>
      </c>
      <c r="AD15" s="6">
        <v>0.0</v>
      </c>
      <c r="AE15" s="6">
        <v>0.0</v>
      </c>
      <c r="AF15" s="6">
        <v>2.0</v>
      </c>
      <c r="AG15" s="6">
        <v>0.0</v>
      </c>
      <c r="AH15" s="6">
        <v>0.0</v>
      </c>
      <c r="AI15" s="6">
        <v>0.0</v>
      </c>
      <c r="AJ15" s="6">
        <v>0.0</v>
      </c>
      <c r="AK15" s="6">
        <v>0.0</v>
      </c>
      <c r="AL15" s="6">
        <v>3.0</v>
      </c>
      <c r="AM15" s="6">
        <v>3.0</v>
      </c>
      <c r="AN15" s="6">
        <v>0.0</v>
      </c>
      <c r="AO15" s="6">
        <v>0.0</v>
      </c>
      <c r="AP15" s="6">
        <v>0.0</v>
      </c>
      <c r="AQ15" s="6">
        <v>3.0</v>
      </c>
      <c r="AR15" s="6">
        <v>0.0</v>
      </c>
      <c r="AS15" s="6">
        <v>0.0</v>
      </c>
      <c r="AT15" s="6">
        <v>0.0</v>
      </c>
      <c r="AU15" s="6">
        <v>0.0</v>
      </c>
      <c r="AV15" s="6">
        <v>0.0</v>
      </c>
      <c r="AW15" s="6">
        <v>0.0</v>
      </c>
      <c r="AX15" s="6">
        <v>0.0</v>
      </c>
      <c r="AY15" s="6">
        <v>2.0</v>
      </c>
      <c r="AZ15" s="6">
        <v>0.0</v>
      </c>
      <c r="BA15" s="6">
        <v>0.0</v>
      </c>
      <c r="BB15" s="6">
        <v>0.0</v>
      </c>
      <c r="BC15" s="6">
        <v>0.0</v>
      </c>
      <c r="BD15" s="6">
        <v>0.0</v>
      </c>
      <c r="BE15" s="6">
        <v>0.0</v>
      </c>
      <c r="BF15" s="6">
        <v>2.0</v>
      </c>
      <c r="BG15" s="6">
        <v>0.0</v>
      </c>
      <c r="BH15" s="6">
        <v>0.0</v>
      </c>
      <c r="BI15" s="6">
        <v>0.0</v>
      </c>
      <c r="BJ15" s="6">
        <v>0.0</v>
      </c>
      <c r="BK15" s="6">
        <v>0.0</v>
      </c>
      <c r="BL15" s="6">
        <v>0.0</v>
      </c>
      <c r="BM15" s="6">
        <v>0.0</v>
      </c>
      <c r="BN15" s="6">
        <v>0.0</v>
      </c>
      <c r="BO15" s="6">
        <v>0.0</v>
      </c>
      <c r="BP15" s="6">
        <v>0.0</v>
      </c>
      <c r="BQ15" s="6">
        <v>0.0</v>
      </c>
      <c r="BR15" s="6">
        <v>0.0</v>
      </c>
      <c r="BS15" s="6">
        <v>0.0</v>
      </c>
      <c r="BT15" s="6">
        <v>4.0</v>
      </c>
      <c r="BU15" s="6">
        <v>0.0</v>
      </c>
      <c r="BV15" s="6">
        <v>0.0</v>
      </c>
      <c r="BW15" s="6">
        <v>0.0</v>
      </c>
      <c r="BX15" s="6">
        <v>0.0</v>
      </c>
    </row>
    <row r="16">
      <c r="A16" s="6" t="s">
        <v>63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2.0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6.0</v>
      </c>
      <c r="R16" s="6">
        <v>0.0</v>
      </c>
      <c r="S16" s="6">
        <v>0.0</v>
      </c>
      <c r="T16" s="6">
        <v>0.0</v>
      </c>
      <c r="U16" s="6">
        <v>2.0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2.0</v>
      </c>
      <c r="AB16" s="6">
        <v>0.0</v>
      </c>
      <c r="AC16" s="6">
        <v>0.0</v>
      </c>
      <c r="AD16" s="6">
        <v>0.0</v>
      </c>
      <c r="AE16" s="6">
        <v>2.0</v>
      </c>
      <c r="AF16" s="6">
        <v>4.0</v>
      </c>
      <c r="AG16" s="6">
        <v>0.0</v>
      </c>
      <c r="AH16" s="6">
        <v>2.0</v>
      </c>
      <c r="AI16" s="6">
        <v>0.0</v>
      </c>
      <c r="AJ16" s="6">
        <v>0.0</v>
      </c>
      <c r="AK16" s="6">
        <v>0.0</v>
      </c>
      <c r="AL16" s="6">
        <v>2.0</v>
      </c>
      <c r="AM16" s="6">
        <v>0.0</v>
      </c>
      <c r="AN16" s="6">
        <v>0.0</v>
      </c>
      <c r="AO16" s="6">
        <v>2.0</v>
      </c>
      <c r="AP16" s="6">
        <v>0.0</v>
      </c>
      <c r="AQ16" s="6">
        <v>0.0</v>
      </c>
      <c r="AR16" s="6">
        <v>0.0</v>
      </c>
      <c r="AS16" s="6">
        <v>0.0</v>
      </c>
      <c r="AT16" s="6">
        <v>0.0</v>
      </c>
      <c r="AU16" s="6">
        <v>0.0</v>
      </c>
      <c r="AV16" s="6">
        <v>0.0</v>
      </c>
      <c r="AW16" s="6">
        <v>0.0</v>
      </c>
      <c r="AX16" s="6">
        <v>0.0</v>
      </c>
      <c r="AY16" s="6">
        <v>2.0</v>
      </c>
      <c r="AZ16" s="6">
        <v>0.0</v>
      </c>
      <c r="BA16" s="6">
        <v>0.0</v>
      </c>
      <c r="BB16" s="6">
        <v>0.0</v>
      </c>
      <c r="BC16" s="6">
        <v>0.0</v>
      </c>
      <c r="BD16" s="6">
        <v>0.0</v>
      </c>
      <c r="BE16" s="6">
        <v>0.0</v>
      </c>
      <c r="BF16" s="6">
        <v>2.0</v>
      </c>
      <c r="BG16" s="6">
        <v>0.0</v>
      </c>
      <c r="BH16" s="6">
        <v>0.0</v>
      </c>
      <c r="BI16" s="6">
        <v>0.0</v>
      </c>
      <c r="BJ16" s="6">
        <v>0.0</v>
      </c>
      <c r="BK16" s="6">
        <v>0.0</v>
      </c>
      <c r="BL16" s="6">
        <v>0.0</v>
      </c>
      <c r="BM16" s="6">
        <v>0.0</v>
      </c>
      <c r="BN16" s="6">
        <v>0.0</v>
      </c>
      <c r="BO16" s="6">
        <v>0.0</v>
      </c>
      <c r="BP16" s="6">
        <v>0.0</v>
      </c>
      <c r="BQ16" s="6">
        <v>0.0</v>
      </c>
      <c r="BR16" s="6">
        <v>0.0</v>
      </c>
      <c r="BS16" s="6">
        <v>0.0</v>
      </c>
      <c r="BT16" s="6">
        <v>0.0</v>
      </c>
      <c r="BU16" s="6">
        <v>4.0</v>
      </c>
      <c r="BV16" s="6">
        <v>0.0</v>
      </c>
      <c r="BW16" s="6">
        <v>0.0</v>
      </c>
      <c r="BX16" s="6">
        <v>0.0</v>
      </c>
    </row>
    <row r="17">
      <c r="A17" s="6" t="s">
        <v>66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2.0</v>
      </c>
      <c r="K17" s="6">
        <v>0.0</v>
      </c>
      <c r="L17" s="6">
        <v>0.0</v>
      </c>
      <c r="M17" s="6">
        <v>0.0</v>
      </c>
      <c r="N17" s="6">
        <v>0.0</v>
      </c>
      <c r="O17" s="6">
        <v>4.0</v>
      </c>
      <c r="P17" s="6">
        <v>2.0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3.0</v>
      </c>
      <c r="W17" s="6">
        <v>0.0</v>
      </c>
      <c r="X17" s="6">
        <v>0.0</v>
      </c>
      <c r="Y17" s="6">
        <v>0.0</v>
      </c>
      <c r="Z17" s="6">
        <v>3.0</v>
      </c>
      <c r="AA17" s="6">
        <v>0.0</v>
      </c>
      <c r="AB17" s="6">
        <v>0.0</v>
      </c>
      <c r="AC17" s="6">
        <v>0.0</v>
      </c>
      <c r="AD17" s="6">
        <v>0.0</v>
      </c>
      <c r="AE17" s="6">
        <v>0.0</v>
      </c>
      <c r="AF17" s="6">
        <v>0.0</v>
      </c>
      <c r="AG17" s="6">
        <v>0.0</v>
      </c>
      <c r="AH17" s="6">
        <v>2.0</v>
      </c>
      <c r="AI17" s="6">
        <v>0.0</v>
      </c>
      <c r="AJ17" s="6">
        <v>0.0</v>
      </c>
      <c r="AK17" s="6">
        <v>2.0</v>
      </c>
      <c r="AL17" s="6">
        <v>2.0</v>
      </c>
      <c r="AM17" s="6">
        <v>0.0</v>
      </c>
      <c r="AN17" s="6">
        <v>0.0</v>
      </c>
      <c r="AO17" s="6">
        <v>0.0</v>
      </c>
      <c r="AP17" s="6">
        <v>0.0</v>
      </c>
      <c r="AQ17" s="6">
        <v>0.0</v>
      </c>
      <c r="AR17" s="6">
        <v>0.0</v>
      </c>
      <c r="AS17" s="6">
        <v>0.0</v>
      </c>
      <c r="AT17" s="6">
        <v>0.0</v>
      </c>
      <c r="AU17" s="6">
        <v>0.0</v>
      </c>
      <c r="AV17" s="6">
        <v>0.0</v>
      </c>
      <c r="AW17" s="6">
        <v>1.0</v>
      </c>
      <c r="AX17" s="6">
        <v>0.0</v>
      </c>
      <c r="AY17" s="6">
        <v>0.0</v>
      </c>
      <c r="AZ17" s="6">
        <v>5.0</v>
      </c>
      <c r="BA17" s="6">
        <v>0.0</v>
      </c>
      <c r="BB17" s="6">
        <v>0.0</v>
      </c>
      <c r="BC17" s="6">
        <v>0.0</v>
      </c>
      <c r="BD17" s="6">
        <v>0.0</v>
      </c>
      <c r="BE17" s="6">
        <v>0.0</v>
      </c>
      <c r="BF17" s="6">
        <v>2.0</v>
      </c>
      <c r="BG17" s="6">
        <v>0.0</v>
      </c>
      <c r="BH17" s="6">
        <v>0.0</v>
      </c>
      <c r="BI17" s="6">
        <v>0.0</v>
      </c>
      <c r="BJ17" s="6">
        <v>0.0</v>
      </c>
      <c r="BK17" s="6">
        <v>0.0</v>
      </c>
      <c r="BL17" s="6">
        <v>0.0</v>
      </c>
      <c r="BM17" s="6">
        <v>0.0</v>
      </c>
      <c r="BN17" s="6">
        <v>0.0</v>
      </c>
      <c r="BO17" s="6">
        <v>0.0</v>
      </c>
      <c r="BP17" s="6">
        <v>0.0</v>
      </c>
      <c r="BQ17" s="6">
        <v>0.0</v>
      </c>
      <c r="BR17" s="6">
        <v>0.0</v>
      </c>
      <c r="BS17" s="6">
        <v>0.0</v>
      </c>
      <c r="BT17" s="6">
        <v>0.0</v>
      </c>
      <c r="BU17" s="6">
        <v>0.0</v>
      </c>
      <c r="BV17" s="6">
        <v>4.0</v>
      </c>
      <c r="BW17" s="6">
        <v>0.0</v>
      </c>
      <c r="BX17" s="6">
        <v>0.0</v>
      </c>
    </row>
    <row r="18">
      <c r="A18" s="6" t="s">
        <v>69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2.0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2.0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  <c r="V18" s="6">
        <v>4.0</v>
      </c>
      <c r="W18" s="6">
        <v>0.0</v>
      </c>
      <c r="X18" s="6">
        <v>0.0</v>
      </c>
      <c r="Y18" s="6">
        <v>0.0</v>
      </c>
      <c r="Z18" s="6">
        <v>4.0</v>
      </c>
      <c r="AA18" s="6">
        <v>0.0</v>
      </c>
      <c r="AB18" s="6">
        <v>0.0</v>
      </c>
      <c r="AC18" s="6">
        <v>0.0</v>
      </c>
      <c r="AD18" s="6">
        <v>0.0</v>
      </c>
      <c r="AE18" s="6">
        <v>0.0</v>
      </c>
      <c r="AF18" s="6">
        <v>0.0</v>
      </c>
      <c r="AG18" s="6">
        <v>0.0</v>
      </c>
      <c r="AH18" s="6">
        <v>2.0</v>
      </c>
      <c r="AI18" s="6">
        <v>0.0</v>
      </c>
      <c r="AJ18" s="6">
        <v>0.0</v>
      </c>
      <c r="AK18" s="6">
        <v>2.0</v>
      </c>
      <c r="AL18" s="6">
        <v>2.0</v>
      </c>
      <c r="AM18" s="6">
        <v>0.0</v>
      </c>
      <c r="AN18" s="6">
        <v>0.0</v>
      </c>
      <c r="AO18" s="6">
        <v>0.0</v>
      </c>
      <c r="AP18" s="6">
        <v>4.0</v>
      </c>
      <c r="AQ18" s="6">
        <v>2.0</v>
      </c>
      <c r="AR18" s="6">
        <v>0.0</v>
      </c>
      <c r="AS18" s="6">
        <v>0.0</v>
      </c>
      <c r="AT18" s="6">
        <v>0.0</v>
      </c>
      <c r="AU18" s="6">
        <v>0.0</v>
      </c>
      <c r="AV18" s="6">
        <v>0.0</v>
      </c>
      <c r="AW18" s="6">
        <v>1.0</v>
      </c>
      <c r="AX18" s="6">
        <v>0.0</v>
      </c>
      <c r="AY18" s="6">
        <v>0.0</v>
      </c>
      <c r="AZ18" s="6">
        <v>0.0</v>
      </c>
      <c r="BA18" s="6">
        <v>0.0</v>
      </c>
      <c r="BB18" s="6">
        <v>0.0</v>
      </c>
      <c r="BC18" s="6">
        <v>0.0</v>
      </c>
      <c r="BD18" s="6">
        <v>0.0</v>
      </c>
      <c r="BE18" s="6">
        <v>0.0</v>
      </c>
      <c r="BF18" s="6">
        <v>2.0</v>
      </c>
      <c r="BG18" s="6">
        <v>0.0</v>
      </c>
      <c r="BH18" s="6">
        <v>0.0</v>
      </c>
      <c r="BI18" s="6">
        <v>0.0</v>
      </c>
      <c r="BJ18" s="6">
        <v>0.0</v>
      </c>
      <c r="BK18" s="6">
        <v>0.0</v>
      </c>
      <c r="BL18" s="6">
        <v>0.0</v>
      </c>
      <c r="BM18" s="6">
        <v>0.0</v>
      </c>
      <c r="BN18" s="6">
        <v>0.0</v>
      </c>
      <c r="BO18" s="6">
        <v>0.0</v>
      </c>
      <c r="BP18" s="6">
        <v>0.0</v>
      </c>
      <c r="BQ18" s="6">
        <v>0.0</v>
      </c>
      <c r="BR18" s="6">
        <v>0.0</v>
      </c>
      <c r="BS18" s="6">
        <v>0.0</v>
      </c>
      <c r="BT18" s="6">
        <v>0.0</v>
      </c>
      <c r="BU18" s="6">
        <v>0.0</v>
      </c>
      <c r="BV18" s="6">
        <v>0.0</v>
      </c>
      <c r="BW18" s="6">
        <v>4.0</v>
      </c>
      <c r="BX18" s="6">
        <v>0.0</v>
      </c>
    </row>
    <row r="19">
      <c r="A19" s="6" t="s">
        <v>72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5.0</v>
      </c>
      <c r="I19" s="6">
        <v>0.0</v>
      </c>
      <c r="J19" s="6">
        <v>2.0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2.0</v>
      </c>
      <c r="Q19" s="6">
        <v>3.0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3.0</v>
      </c>
      <c r="AA19" s="6">
        <v>0.0</v>
      </c>
      <c r="AB19" s="6">
        <v>0.0</v>
      </c>
      <c r="AC19" s="6">
        <v>0.0</v>
      </c>
      <c r="AD19" s="6">
        <v>0.0</v>
      </c>
      <c r="AE19" s="6">
        <v>0.0</v>
      </c>
      <c r="AF19" s="6">
        <v>3.0</v>
      </c>
      <c r="AG19" s="6">
        <v>0.0</v>
      </c>
      <c r="AH19" s="6">
        <v>0.0</v>
      </c>
      <c r="AI19" s="6">
        <v>0.0</v>
      </c>
      <c r="AJ19" s="6">
        <v>0.0</v>
      </c>
      <c r="AK19" s="6">
        <v>2.0</v>
      </c>
      <c r="AL19" s="6">
        <v>2.0</v>
      </c>
      <c r="AM19" s="6">
        <v>0.0</v>
      </c>
      <c r="AN19" s="6">
        <v>0.0</v>
      </c>
      <c r="AO19" s="6">
        <v>0.0</v>
      </c>
      <c r="AP19" s="6">
        <v>4.0</v>
      </c>
      <c r="AQ19" s="6">
        <v>0.0</v>
      </c>
      <c r="AR19" s="6">
        <v>0.0</v>
      </c>
      <c r="AS19" s="6">
        <v>0.0</v>
      </c>
      <c r="AT19" s="6">
        <v>0.0</v>
      </c>
      <c r="AU19" s="6">
        <v>0.0</v>
      </c>
      <c r="AV19" s="6">
        <v>0.0</v>
      </c>
      <c r="AW19" s="6">
        <v>1.0</v>
      </c>
      <c r="AX19" s="6">
        <v>0.0</v>
      </c>
      <c r="AY19" s="6">
        <v>0.0</v>
      </c>
      <c r="AZ19" s="6">
        <v>0.0</v>
      </c>
      <c r="BA19" s="6">
        <v>0.0</v>
      </c>
      <c r="BB19" s="6">
        <v>0.0</v>
      </c>
      <c r="BC19" s="6">
        <v>0.0</v>
      </c>
      <c r="BD19" s="6">
        <v>0.0</v>
      </c>
      <c r="BE19" s="6">
        <v>0.0</v>
      </c>
      <c r="BF19" s="6">
        <v>2.0</v>
      </c>
      <c r="BG19" s="6">
        <v>0.0</v>
      </c>
      <c r="BH19" s="6">
        <v>0.0</v>
      </c>
      <c r="BI19" s="6">
        <v>0.0</v>
      </c>
      <c r="BJ19" s="6">
        <v>0.0</v>
      </c>
      <c r="BK19" s="6">
        <v>0.0</v>
      </c>
      <c r="BL19" s="6">
        <v>0.0</v>
      </c>
      <c r="BM19" s="6">
        <v>0.0</v>
      </c>
      <c r="BN19" s="6">
        <v>0.0</v>
      </c>
      <c r="BO19" s="6">
        <v>0.0</v>
      </c>
      <c r="BP19" s="6">
        <v>0.0</v>
      </c>
      <c r="BQ19" s="6">
        <v>0.0</v>
      </c>
      <c r="BR19" s="6">
        <v>0.0</v>
      </c>
      <c r="BS19" s="6">
        <v>0.0</v>
      </c>
      <c r="BT19" s="6">
        <v>0.0</v>
      </c>
      <c r="BU19" s="6">
        <v>0.0</v>
      </c>
      <c r="BV19" s="6">
        <v>0.0</v>
      </c>
      <c r="BW19" s="6">
        <v>0.0</v>
      </c>
      <c r="BX19" s="6">
        <v>4.0</v>
      </c>
    </row>
    <row r="20">
      <c r="A20" s="6"/>
    </row>
  </sheetData>
  <drawing r:id="rId1"/>
</worksheet>
</file>